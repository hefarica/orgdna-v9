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fb71de5d045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09e888afa2f3470b"/>
    <x:sheet xmlns:r="http://schemas.openxmlformats.org/officeDocument/2006/relationships" name="Configuracion" sheetId="2" r:id="Re204be48d9104b72"/>
    <x:sheet xmlns:r="http://schemas.openxmlformats.org/officeDocument/2006/relationships" name="Organigrama" sheetId="3" r:id="Rc1ac8ac7197047e7"/>
    <x:sheet xmlns:r="http://schemas.openxmlformats.org/officeDocument/2006/relationships" name="Perfiles" sheetId="4" r:id="R66684114d50f4ba4"/>
    <x:sheet xmlns:r="http://schemas.openxmlformats.org/officeDocument/2006/relationships" name="CV" sheetId="5" r:id="Rad2c7ac30d464106"/>
    <x:sheet xmlns:r="http://schemas.openxmlformats.org/officeDocument/2006/relationships" name="Competencias" sheetId="6" r:id="R2e5886b8e76f4fb4"/>
    <x:sheet xmlns:r="http://schemas.openxmlformats.org/officeDocument/2006/relationships" name="Asignacion_modelos" sheetId="7" r:id="R86d432b991124980"/>
    <x:sheet xmlns:r="http://schemas.openxmlformats.org/officeDocument/2006/relationships" name="Council" sheetId="8" r:id="R1aaef2548a134939"/>
    <x:sheet xmlns:r="http://schemas.openxmlformats.org/officeDocument/2006/relationships" name="Subequipos" sheetId="9" r:id="R0538658f417c4fe1"/>
    <x:sheet xmlns:r="http://schemas.openxmlformats.org/officeDocument/2006/relationships" name="Aprendizaje" sheetId="10" r:id="Rd3635795b5604621"/>
    <x:sheet xmlns:r="http://schemas.openxmlformats.org/officeDocument/2006/relationships" name="Pruebas" sheetId="11" r:id="R7acbdbf5167c4fe5"/>
    <x:sheet xmlns:r="http://schemas.openxmlformats.org/officeDocument/2006/relationships" name="Proveedores" sheetId="12" r:id="R945db94def88471e"/>
    <x:sheet xmlns:r="http://schemas.openxmlformats.org/officeDocument/2006/relationships" name="Modelos" sheetId="13" r:id="R01715c526b694e2c"/>
    <x:sheet xmlns:r="http://schemas.openxmlformats.org/officeDocument/2006/relationships" name="Exportacion" sheetId="14" r:id="R273519f0790949fd"/>
    <x:sheet xmlns:r="http://schemas.openxmlformats.org/officeDocument/2006/relationships" name="Auditoria" sheetId="15" r:id="R2319c6bf0cd74d6b"/>
    <x:sheet xmlns:r="http://schemas.openxmlformats.org/officeDocument/2006/relationships" name="Guia" sheetId="16" r:id="R7f8e9040b6e04b82"/>
  </x:sheets>
  <x:definedNames>
    <x:definedName name="CatalogoProveedores">'Proveedores'!$A$6:$A$25</x:definedName>
    <x:definedName name="CatalogoModelos">'Modelos'!$B$6:$B$205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72A3A"/>
      <x:name val="Arial"/>
    </x:font>
    <x:font>
      <x:b/>
      <x:sz val="16"/>
      <x:color rgb="FF19354A"/>
      <x:name val="Arial"/>
    </x:font>
    <x:font>
      <x:b/>
      <x:sz val="10"/>
      <x:color rgb="FFFFFFFF"/>
      <x:name val="Arial"/>
    </x:font>
    <x:font>
      <x:sz val="10"/>
      <x:color rgb="FF224C87"/>
      <x:name val="Arial"/>
    </x:font>
    <x:font>
      <x:sz val="10"/>
      <x:color rgb="FF526878"/>
      <x:name val="Arial"/>
    </x:font>
    <x:font>
      <x:i/>
      <x:sz val="10"/>
      <x:color rgb="FF526878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354A"/>
      </x:patternFill>
    </x:fill>
    <x:fill>
      <x:patternFill patternType="solid">
        <x:fgColor rgb="FFEFF4F8"/>
      </x:patternFill>
    </x:fill>
    <x:fill>
      <x:patternFill patternType="solid">
        <x:fgColor rgb="FFFFF2CC"/>
      </x:patternFill>
    </x:fill>
    <x:fill>
      <x:patternFill patternType="solid">
        <x:fgColor rgb="FF2D5B7B"/>
      </x:patternFill>
    </x:fill>
  </x:fills>
  <x:borders count="5">
    <x:border/>
    <x:border>
      <x:bottom style="thin">
        <x:color rgb="FF2D5B7B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805200"/>
      </x:font>
      <x:fill>
        <x:patternFill patternType="solid">
          <x:bgColor rgb="FFFFF2CC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805200"/>
      </x:font>
      <x:fill>
        <x:patternFill patternType="solid">
          <x:bgColor rgb="FFFFF2CC"/>
        </x:patternFill>
      </x:fill>
    </x:dxf>
    <x:dxf>
      <x:font>
        <x:color rgb="FFA61B1B"/>
      </x:font>
      <x:fill>
        <x:patternFill patternType="solid">
          <x:bgColor rgb="FFFCE4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8052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eaebeeb3a4abd" /><Relationship Type="http://schemas.openxmlformats.org/officeDocument/2006/relationships/theme" Target="/xl/theme/theme1.xml" Id="R9a8ccc02754541ed" /><Relationship Type="http://schemas.openxmlformats.org/officeDocument/2006/relationships/sharedStrings" Target="/xl/sharedStrings.xml" Id="Rc22290d37eac4212" /><Relationship Type="http://schemas.openxmlformats.org/officeDocument/2006/relationships/worksheet" Target="/xl/worksheets/sheet1.xml" Id="R09e888afa2f3470b" /><Relationship Type="http://schemas.openxmlformats.org/officeDocument/2006/relationships/worksheet" Target="/xl/worksheets/sheet2.xml" Id="Re204be48d9104b72" /><Relationship Type="http://schemas.openxmlformats.org/officeDocument/2006/relationships/worksheet" Target="/xl/worksheets/sheet3.xml" Id="Rc1ac8ac7197047e7" /><Relationship Type="http://schemas.openxmlformats.org/officeDocument/2006/relationships/worksheet" Target="/xl/worksheets/sheet4.xml" Id="R66684114d50f4ba4" /><Relationship Type="http://schemas.openxmlformats.org/officeDocument/2006/relationships/worksheet" Target="/xl/worksheets/sheet5.xml" Id="Rad2c7ac30d464106" /><Relationship Type="http://schemas.openxmlformats.org/officeDocument/2006/relationships/worksheet" Target="/xl/worksheets/sheet6.xml" Id="R2e5886b8e76f4fb4" /><Relationship Type="http://schemas.openxmlformats.org/officeDocument/2006/relationships/worksheet" Target="/xl/worksheets/sheet7.xml" Id="R86d432b991124980" /><Relationship Type="http://schemas.openxmlformats.org/officeDocument/2006/relationships/worksheet" Target="/xl/worksheets/sheet8.xml" Id="R1aaef2548a134939" /><Relationship Type="http://schemas.openxmlformats.org/officeDocument/2006/relationships/worksheet" Target="/xl/worksheets/sheet9.xml" Id="R0538658f417c4fe1" /><Relationship Type="http://schemas.openxmlformats.org/officeDocument/2006/relationships/worksheet" Target="/xl/worksheets/sheet10.xml" Id="Rd3635795b5604621" /><Relationship Type="http://schemas.openxmlformats.org/officeDocument/2006/relationships/worksheet" Target="/xl/worksheets/sheet11.xml" Id="R7acbdbf5167c4fe5" /><Relationship Type="http://schemas.openxmlformats.org/officeDocument/2006/relationships/worksheet" Target="/xl/worksheets/sheet12.xml" Id="R945db94def88471e" /><Relationship Type="http://schemas.openxmlformats.org/officeDocument/2006/relationships/worksheet" Target="/xl/worksheets/sheet13.xml" Id="R01715c526b694e2c" /><Relationship Type="http://schemas.openxmlformats.org/officeDocument/2006/relationships/worksheet" Target="/xl/worksheets/sheet14.xml" Id="R273519f0790949fd" /><Relationship Type="http://schemas.openxmlformats.org/officeDocument/2006/relationships/worksheet" Target="/xl/worksheets/sheet15.xml" Id="R2319c6bf0cd74d6b" /><Relationship Type="http://schemas.openxmlformats.org/officeDocument/2006/relationships/worksheet" Target="/xl/worksheets/sheet16.xml" Id="R7f8e9040b6e04b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354A"/>
  </x:sheetPr>
  <x:sheetViews>
    <x:sheetView showGridLines="0" workbookViewId="0"/>
  </x:sheetViews>
  <x:sheetFormatPr defaultRowHeight="15"/>
  <x:cols>
    <x:col min="1" max="1" width="37" hidden="0" customWidth="1"/>
    <x:col min="2" max="2" width="38" hidden="0" customWidth="1"/>
    <x:col min="3" max="3" width="95" hidden="0" customWidth="1"/>
  </x:cols>
  <x:sheetData>
    <x:row r="1" ht="28" customHeight="1">
      <x:c r="A1" s="2"/>
      <x:c r="B1" s="2"/>
      <x:c r="C1" s="2"/>
    </x:row>
    <x:row r="2" ht="30" customHeight="1">
      <x:c r="A2" s="3" t="str">
        <x:v>ADN organizacional</x:v>
      </x:c>
      <x:c r="B2" s="2"/>
      <x:c r="C2" s="2"/>
    </x:row>
    <x:row r="3" ht="8" customHeight="1">
      <x:c r="A3" s="4"/>
      <x:c r="B3" s="4"/>
      <x:c r="C3" s="4"/>
    </x:row>
    <x:row r="4" ht="25" customHeight="1">
      <x:c r="A4" s="25" t="str">
        <x:v>Diseño inicial ArbitrageX con 24 agentes y máximo 3 reportes directos.</x:v>
      </x:c>
      <x:c r="B4" s="2"/>
      <x:c r="C4" s="2"/>
    </x:row>
    <x:row r="5" ht="34" customHeight="1">
      <x:c r="A5" s="13" t="str">
        <x:v>Indicador</x:v>
      </x:c>
      <x:c r="B5" s="14" t="str">
        <x:v>Valor</x:v>
      </x:c>
      <x:c r="C5" s="15" t="str">
        <x:v>Siguiente paso</x:v>
      </x:c>
    </x:row>
    <x:row r="6" ht="49" customHeight="1">
      <x:c r="A6" s="21" t="str">
        <x:v>Proyecto</x:v>
      </x:c>
      <x:c r="B6" s="21" t="str">
        <x:f>'Configuracion'!B7</x:f>
        <x:v>ArbitrageX</x:v>
      </x:c>
      <x:c r="C6" s="21" t="str">
        <x:v>Configura el repositorio y guarda el libro antes de usar el motor.</x:v>
      </x:c>
    </x:row>
    <x:row r="7" ht="49" customHeight="1">
      <x:c r="A7" s="22" t="str">
        <x:v>Agentes activos</x:v>
      </x:c>
      <x:c r="B7" s="22" t="n">
        <x:f>IF('Configuracion'!B23="VALIDO",COUNTIFS('Organigrama'!C6:C37,"SI"),"n.a.")</x:f>
        <x:v>24</x:v>
      </x:c>
      <x:c r="C7" s="22" t="str">
        <x:v>El CEO ocupa un slot; el propietario externo queda fuera de N.</x:v>
      </x:c>
    </x:row>
    <x:row r="8" ht="49" customHeight="1">
      <x:c r="A8" s="21" t="str">
        <x:v>Span máximo</x:v>
      </x:c>
      <x:c r="B8" s="21" t="n">
        <x:f>'Configuracion'!B9</x:f>
        <x:v>3</x:v>
      </x:c>
      <x:c r="C8" s="21" t="str">
        <x:v>Revisa la asignación funcional si cambias el límite.</x:v>
      </x:c>
    </x:row>
    <x:row r="9" ht="49" customHeight="1">
      <x:c r="A9" s="22" t="str">
        <x:v>Niveles jerárquicos</x:v>
      </x:c>
      <x:c r="B9" s="22" t="n">
        <x:f>IF('Configuracion'!B23="VALIDO",MAX('Organigrama'!I6:I37)+1,"n.a.")</x:f>
        <x:v>4</x:v>
      </x:c>
      <x:c r="C9" s="22" t="str">
        <x:v>La profundidad responde a N y span automáticamente.</x:v>
      </x:c>
    </x:row>
    <x:row r="10" ht="49" customHeight="1">
      <x:c r="A10" s="21" t="str">
        <x:v>Perfiles</x:v>
      </x:c>
      <x:c r="B10" s="21" t="str">
        <x:f>'Configuracion'!B24</x:f>
        <x:v>DISEÑADO_NO_EJECUTADO</x:v>
      </x:c>
      <x:c r="C10" s="21" t="str">
        <x:v>Aplicar el motor actualiza roles, CV y exportaciones.</x:v>
      </x:c>
    </x:row>
    <x:row r="11" ht="49" customHeight="1">
      <x:c r="A11" s="22" t="str">
        <x:v>Modelos verificados</x:v>
      </x:c>
      <x:c r="B11" s="22" t="n">
        <x:f>COUNTIFS('Organigrama'!M6:M37,"AVAILABLE",'Organigrama'!C6:C37,"SI")</x:f>
        <x:v>0</x:v>
      </x:c>
      <x:c r="C11" s="22" t="str">
        <x:v>Conecta credenciales localmente y consulta el catálogo.</x:v>
      </x:c>
    </x:row>
    <x:row r="12" ht="49" customHeight="1">
      <x:c r="A12" s="21" t="str">
        <x:v>Pruebas del proyecto</x:v>
      </x:c>
      <x:c r="B12" s="21" t="str">
        <x:v>NO_EJECUTADAS</x:v>
      </x:c>
      <x:c r="C12" s="21" t="str">
        <x:v>Los casos están preparados. Ningún resultado operativo se da por demostrado.</x:v>
      </x:c>
    </x:row>
    <x:row r="13" ht="49" customHeight="1">
      <x:c r="A13" s="22" t="str">
        <x:v>Modo entrega</x:v>
      </x:c>
      <x:c r="B13" s="22" t="str">
        <x:v>XLSX + motor local</x:v>
      </x:c>
      <x:c r="C13" s="22" t="str">
        <x:v>Los enlaces abren el panel local; el libro no contiene macros.</x:v>
      </x:c>
    </x:row>
    <x:row r="14" ht="49" customHeight="1">
      <x:c r="A14" s="21" t="str">
        <x:v>Owner</x:v>
      </x:c>
      <x:c r="B14" s="21" t="str">
        <x:v>OWNER_EXTERNAL</x:v>
      </x:c>
      <x:c r="C14" s="21" t="str">
        <x:v>El CEO informa al propietario. Council es coordinación, no subordinación.</x:v>
      </x:c>
    </x:row>
    <x:row r="15" ht="28" customHeight="1">
      <x:c r="A15" s="2"/>
      <x:c r="B15" s="2"/>
      <x:c r="C15" s="2"/>
    </x:row>
    <x:row r="16" ht="28" customHeight="1">
      <x:c r="A16" s="16"/>
      <x:c r="B16" s="16"/>
      <x:c r="C16" s="16"/>
    </x:row>
    <x:row r="17" ht="48" customHeight="1">
      <x:c r="A17" s="29" t="str">
        <x:f>IFERROR(HYPERLINK("http://127.0.0.1:8765/","ABRIR PANEL LOCAL"),"ABRIR PANEL LOCAL")</x:f>
        <x:v>ABRIR PANEL LOCAL</x:v>
      </x:c>
      <x:c r="B17" s="2"/>
      <x:c r="C17" s="23" t="str">
        <x:v>1. Inicia el lanzador local. 2. Abre el panel. 3. Sincroniza el Excel guardado. 4. Descarga Recipe, Definitions Backup o el paquete ZIP.</x:v>
      </x:c>
    </x:row>
    <x:row r="18" ht="28" customHeight="1">
      <x:c r="A18" s="16"/>
      <x:c r="B18" s="16"/>
      <x:c r="C18" s="16"/>
    </x:row>
    <x:row r="19" ht="34" customHeight="1">
      <x:c r="A19" s="29" t="str">
        <x:f>IFERROR(HYPERLINK("http://127.0.0.1:8765/download/implementation.json","DESCARGAR RECIPE DSH"),"DESCARGAR RECIPE DSH")</x:f>
        <x:v>DESCARGAR RECIPE DSH</x:v>
      </x:c>
      <x:c r="B19" s="2"/>
      <x:c r="C19" s="2"/>
    </x:row>
    <x:row r="20" ht="28" customHeight="1">
      <x:c r="A20" s="16"/>
      <x:c r="B20" s="16"/>
      <x:c r="C20" s="16"/>
    </x:row>
    <x:row r="21" ht="34" customHeight="1">
      <x:c r="A21" s="29" t="str">
        <x:f>IFERROR(HYPERLINK("http://127.0.0.1:8765/download/definitions.json","DESCARGAR BACKUP DSH"),"DESCARGAR BACKUP DSH")</x:f>
        <x:v>DESCARGAR BACKUP DSH</x:v>
      </x:c>
      <x:c r="B21" s="2"/>
      <x:c r="C21" s="2"/>
    </x:row>
    <x:row r="22" ht="28" customHeight="1">
      <x:c r="A22" s="16"/>
      <x:c r="B22" s="16"/>
      <x:c r="C22" s="16"/>
    </x:row>
    <x:row r="23" ht="34" customHeight="1">
      <x:c r="A23" s="29" t="str">
        <x:f>IFERROR(HYPERLINK("http://127.0.0.1:8765/download/package.zip","DESCARGAR PAQUETE ZIP"),"DESCARGAR PAQUETE ZIP")</x:f>
        <x:v>DESCARGAR PAQUETE ZIP</x:v>
      </x:c>
      <x:c r="B23" s="2"/>
      <x:c r="C23" s="2"/>
    </x:row>
    <x:row r="24" ht="28" customHeight="1">
      <x:c r="A24" s="16"/>
      <x:c r="B24" s="16"/>
      <x:c r="C24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D5B7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58" hidden="0" customWidth="1"/>
    <x:col min="3" max="3" width="23" hidden="0" customWidth="1"/>
    <x:col min="4" max="4" width="88" hidden="0" customWidth="1"/>
  </x:cols>
  <x:sheetData>
    <x:row r="1" ht="28" customHeight="1">
      <x:c r="A1" s="2"/>
      <x:c r="B1" s="2"/>
      <x:c r="C1" s="2"/>
      <x:c r="D1" s="2"/>
    </x:row>
    <x:row r="2" ht="30" customHeight="1">
      <x:c r="A2" s="3" t="str">
        <x:v>Configuración del equipo</x:v>
      </x:c>
      <x:c r="B2" s="2"/>
      <x:c r="C2" s="2"/>
      <x:c r="D2" s="2"/>
    </x:row>
    <x:row r="3" ht="8" customHeight="1">
      <x:c r="A3" s="4"/>
      <x:c r="B3" s="4"/>
      <x:c r="C3" s="4"/>
      <x:c r="D3" s="4"/>
    </x:row>
    <x:row r="4" ht="28" customHeight="1">
      <x:c r="A4" s="2"/>
      <x:c r="B4" s="2"/>
      <x:c r="C4" s="2"/>
      <x:c r="D4" s="2"/>
    </x:row>
    <x:row r="5" ht="34" customHeight="1">
      <x:c r="A5" s="13" t="str">
        <x:v>Parámetro</x:v>
      </x:c>
      <x:c r="B5" s="14" t="str">
        <x:v>Valor</x:v>
      </x:c>
      <x:c r="C5" s="14" t="str">
        <x:v>Validación</x:v>
      </x:c>
      <x:c r="D5" s="15" t="str">
        <x:v>Uso</x:v>
      </x:c>
    </x:row>
    <x:row r="6" ht="46" customHeight="1">
      <x:c r="A6" s="21" t="str">
        <x:v>Repositorio URL</x:v>
      </x:c>
      <x:c r="B6" s="19" t="str">
        <x:v>https://github.com/hefarica/arbitragex-v2.git</x:v>
      </x:c>
      <x:c r="C6" s="21" t="str">
        <x:f>IF(B6="","FALTA REPOSITORIO","PENDIENTE ANALISIS")</x:f>
        <x:v>PENDIENTE ANALISIS</x:v>
      </x:c>
      <x:c r="D6" s="21" t="str">
        <x:v>Se analiza únicamente cuando ejecutas la acción del motor local.</x:v>
      </x:c>
    </x:row>
    <x:row r="7" ht="46" customHeight="1">
      <x:c r="A7" s="22" t="str">
        <x:v>Nombre del proyecto</x:v>
      </x:c>
      <x:c r="B7" s="19" t="str">
        <x:v>ArbitrageX</x:v>
      </x:c>
      <x:c r="C7" s="22" t="str">
        <x:f>IF(B7="","FALTA NOMBRE","VALIDO")</x:f>
        <x:v>VALIDO</x:v>
      </x:c>
      <x:c r="D7" s="22" t="str">
        <x:v>Nombre del proyecto y de los archivos exportados.</x:v>
      </x:c>
    </x:row>
    <x:row r="8" ht="46" customHeight="1">
      <x:c r="A8" s="21" t="str">
        <x:v>Número de agentes</x:v>
      </x:c>
      <x:c r="B8" s="19" t="n">
        <x:v>24</x:v>
      </x:c>
      <x:c r="C8" s="21" t="str">
        <x:f>IF(ISNUMBER(B8),IF(AND(B8&gt;=1,B8&lt;=32,MOD(B8,1)=0),"VALIDO","INVALIDO"),"INVALIDO")</x:f>
        <x:v>VALIDO</x:v>
      </x:c>
      <x:c r="D8" s="21" t="str">
        <x:v>Activa los primeros N slots. Los roles se regeneran al aplicar el motor.</x:v>
      </x:c>
    </x:row>
    <x:row r="9" ht="46" customHeight="1">
      <x:c r="A9" s="22" t="str">
        <x:v>Máximo de subordinados</x:v>
      </x:c>
      <x:c r="B9" s="19" t="n">
        <x:v>3</x:v>
      </x:c>
      <x:c r="C9" s="22" t="str">
        <x:f>IF(ISNUMBER(B9),IF(AND(B9&gt;=1,B9&lt;=8,MOD(B9,1)=0),"VALIDO","INVALIDO"),"INVALIDO")</x:f>
        <x:v>VALIDO</x:v>
      </x:c>
      <x:c r="D9" s="22" t="str">
        <x:v>Límite de subordinados directos por agente; OWNER_EXTERNAL está fuera de N.</x:v>
      </x:c>
    </x:row>
    <x:row r="10" ht="46" customHeight="1">
      <x:c r="A10" s="21" t="str">
        <x:v>Plantilla</x:v>
      </x:c>
      <x:c r="B10" s="19" t="str">
        <x:v>arbitragex</x:v>
      </x:c>
      <x:c r="C10" s="21" t="str">
        <x:v>Plantilla</x:v>
      </x:c>
      <x:c r="D10" s="21" t="str">
        <x:v>Base inicial ArbitrageX. Adaptación de competencias mediante análisis del repositorio.</x:v>
      </x:c>
    </x:row>
    <x:row r="11" ht="46" customHeight="1">
      <x:c r="A11" s="22" t="str">
        <x:v>Proveedor</x:v>
      </x:c>
      <x:c r="B11" s="19" t="str">
        <x:v>deepseek-official</x:v>
      </x:c>
      <x:c r="C11" s="22" t="str">
        <x:v>Proveedor</x:v>
      </x:c>
      <x:c r="D11" s="22" t="str">
        <x:v>Cambiar este valor actualiza las asignaciones que conservan la fórmula.</x:v>
      </x:c>
    </x:row>
    <x:row r="12" ht="46" customHeight="1">
      <x:c r="A12" s="21" t="str">
        <x:v>Modelo predeterminado</x:v>
      </x:c>
      <x:c r="B12" s="19" t="str">
        <x:v>deepseek-flash</x:v>
      </x:c>
      <x:c r="C12" s="21" t="str">
        <x:v>UNVERIFIED</x:v>
      </x:c>
      <x:c r="D12" s="21" t="str">
        <x:v>ID semilla de la receta. Verifica disponibilidad en tu cuenta y compatibilidad con la ruta DSH.</x:v>
      </x:c>
    </x:row>
    <x:row r="13" ht="46" customHeight="1">
      <x:c r="A13" s="22" t="str">
        <x:v>Paralelismo implementación</x:v>
      </x:c>
      <x:c r="B13" s="19" t="n">
        <x:v>3</x:v>
      </x:c>
      <x:c r="C13" s="22" t="str">
        <x:f>IF(ISNUMBER(B13),IF(AND(B13&gt;=1,B13&lt;=32,MOD(B13,1)=0),"VALIDO","INVALIDO"),"INVALIDO")</x:f>
        <x:v>VALIDO</x:v>
      </x:c>
      <x:c r="D13" s="22" t="str">
        <x:v>Paralelismo de implementación; no equivale al número de subordinados.</x:v>
      </x:c>
    </x:row>
    <x:row r="14" ht="46" customHeight="1">
      <x:c r="A14" s="21" t="str">
        <x:v>Paralelismo Council</x:v>
      </x:c>
      <x:c r="B14" s="21" t="n">
        <x:f>B8</x:f>
        <x:v>24</x:v>
      </x:c>
      <x:c r="C14" s="21" t="str">
        <x:f>IF(ISNUMBER(B14),IF(AND(B14&gt;=1,B14&lt;=32,MOD(B14,1)=0),"VALIDO","INVALIDO"),"INVALIDO")</x:f>
        <x:v>VALIDO</x:v>
      </x:c>
      <x:c r="D14" s="21" t="str">
        <x:v>Deliberación de todos los miembros; no cambia la jerarquía de reporte.</x:v>
      </x:c>
    </x:row>
    <x:row r="15" ht="46" customHeight="1">
      <x:c r="A15" s="22" t="str">
        <x:v>Referencia del repositorio</x:v>
      </x:c>
      <x:c r="B15" s="19" t="str">
        <x:v>main</x:v>
      </x:c>
      <x:c r="C15" s="22" t="str">
        <x:v>Revisar referencia</x:v>
      </x:c>
      <x:c r="D15" s="22" t="str">
        <x:v>Referencia para un nuevo análisis. La documentación previa es histórica.</x:v>
      </x:c>
    </x:row>
    <x:row r="16" ht="46" customHeight="1">
      <x:c r="A16" s="21" t="str">
        <x:v>Última aplicación del motor</x:v>
      </x:c>
      <x:c r="B16" s="24" t="str"/>
      <x:c r="C16" s="21" t="str">
        <x:v>Pendiente</x:v>
      </x:c>
      <x:c r="D16" s="21" t="str">
        <x:v>Fecha de última aplicación confirmada por el puente local.</x:v>
      </x:c>
    </x:row>
    <x:row r="17" ht="46" customHeight="1">
      <x:c r="A17" s="22" t="str">
        <x:v>Huella aplicada</x:v>
      </x:c>
      <x:c r="B17" s="24" t="str">
        <x:v>https://github.com/hefarica/arbitragex-v2.git|ArbitrageX|24|3|arbitragex|main|deepseek-official|deepseek-flash|3|24||0</x:v>
      </x:c>
      <x:c r="C17" s="22" t="str">
        <x:f>IF(B17=B6&amp;"|"&amp;B7&amp;"|"&amp;B8&amp;"|"&amp;B9&amp;"|"&amp;B10&amp;"|"&amp;B15&amp;"|"&amp;B11&amp;"|"&amp;B12&amp;"|"&amp;B13&amp;"|"&amp;B14&amp;"|"&amp;B21&amp;"|"&amp;B22,"SIN CAMBIOS","STALE")</x:f>
        <x:v>SIN CAMBIOS</x:v>
      </x:c>
      <x:c r="D17" s="22" t="str">
        <x:v>El puente sustituye este valor al aplicar una configuración.</x:v>
      </x:c>
    </x:row>
    <x:row r="18" ht="46" customHeight="1">
      <x:c r="A18" s="21" t="str">
        <x:v>Estado de perfiles</x:v>
      </x:c>
      <x:c r="B18" s="24" t="str">
        <x:v>DISEÑADO_NO_EJECUTADO</x:v>
      </x:c>
      <x:c r="C18" s="21" t="str">
        <x:v>Estado inicial</x:v>
      </x:c>
      <x:c r="D18" s="21" t="str">
        <x:v>Los CV son perfiles de diseño ficticios. No constituyen credenciales reales.</x:v>
      </x:c>
    </x:row>
    <x:row r="19" ht="46" customHeight="1">
      <x:c r="A19" s="22" t="str">
        <x:v>Panel local</x:v>
      </x:c>
      <x:c r="B19" s="24" t="str">
        <x:v>http://127.0.0.1:8765/</x:v>
      </x:c>
      <x:c r="C19" s="22" t="str">
        <x:v>Motor detenido hasta iniciar</x:v>
      </x:c>
      <x:c r="D19" s="22" t="str">
        <x:v>Ejecuta el lanzador local incluido y luego abre el panel.</x:v>
      </x:c>
    </x:row>
    <x:row r="20" ht="46" customHeight="1">
      <x:c r="A20" s="21" t="str">
        <x:v>Propietario externo</x:v>
      </x:c>
      <x:c r="B20" s="24" t="str">
        <x:v>OWNER_EXTERNAL</x:v>
      </x:c>
      <x:c r="C20" s="21" t="str">
        <x:v>Externo</x:v>
      </x:c>
      <x:c r="D20" s="21" t="str">
        <x:v>El propietario recibe el reporte del CEO. No consume un slot ni un subordinado del CEO.</x:v>
      </x:c>
    </x:row>
    <x:row r="21" ht="46" customHeight="1">
      <x:c r="A21" s="22" t="str">
        <x:v>Modelo para análisis</x:v>
      </x:c>
      <x:c r="B21" s="19" t="str"/>
      <x:c r="C21" s="22" t="str">
        <x:v>Opcional</x:v>
      </x:c>
      <x:c r="D21" s="22" t="str">
        <x:v>Modelo para análisis local autorizado; confirmar catálogo y coste antes de usar API.</x:v>
      </x:c>
    </x:row>
    <x:row r="22" ht="46" customHeight="1">
      <x:c r="A22" s="21" t="str">
        <x:v>Presupuesto orientativo USD</x:v>
      </x:c>
      <x:c r="B22" s="19" t="n">
        <x:v>0</x:v>
      </x:c>
      <x:c r="C22" s="21" t="str">
        <x:v>Presupuesto orientativo USD</x:v>
      </x:c>
      <x:c r="D22" s="21" t="str">
        <x:v>0 desactiva llamadas. El importe no está garantizado sin precios o límite del proveedor. Confirmación local antes de enviar.</x:v>
      </x:c>
    </x:row>
    <x:row r="23" ht="28" customHeight="1">
      <x:c r="A23" s="2" t="str">
        <x:v>Estructura</x:v>
      </x:c>
      <x:c r="B23" s="2" t="str">
        <x:f>IF(AND(C8="VALIDO",C9="VALIDO"),"VALIDO","INVALIDO: revisar N/span")</x:f>
        <x:v>VALIDO</x:v>
      </x:c>
      <x:c r="C23" s="2"/>
      <x:c r="D23" s="23" t="str">
        <x:v>Amarillo = editable. Cambiar N/span recalcula el organigrama. El análisis de repositorio y los perfiles requieren aplicar el motor local.</x:v>
      </x:c>
    </x:row>
    <x:row r="24" ht="28" customHeight="1">
      <x:c r="A24" s="16" t="str">
        <x:v>Estado perfiles</x:v>
      </x:c>
      <x:c r="B24" s="16" t="str">
        <x:f>IF(C17="STALE","STALE: aplicar motor local",B18)</x:f>
        <x:v>DISEÑADO_NO_EJECUTADO</x:v>
      </x:c>
      <x:c r="C24" s="16"/>
      <x:c r="D24" s="16"/>
    </x:row>
    <x:row r="25" ht="28" customHeight="1">
      <x:c r="A25" s="2"/>
      <x:c r="B25" s="2"/>
      <x:c r="C25" s="2"/>
      <x:c r="D25" s="2"/>
    </x:row>
    <x:row r="26" ht="28" customHeight="1">
      <x:c r="A26" s="16"/>
      <x:c r="B26" s="16"/>
      <x:c r="C26" s="16"/>
      <x:c r="D26" s="16"/>
    </x:row>
  </x:sheetData>
  <x:conditionalFormatting sqref="B23:C24">
    <x:cfRule type="containsText" dxfId="0" priority="1" operator="containsText" text="INVALIDO"/>
    <x:cfRule type="containsText" dxfId="1" priority="2" operator="containsText" text="STALE"/>
  </x:conditionalFormatting>
  <x:conditionalFormatting sqref="C6:C22">
    <x:cfRule type="containsText" dxfId="2" priority="3" operator="containsText" text="INVALIDO"/>
    <x:cfRule type="containsText" dxfId="3" priority="4" operator="containsText" text="STALE"/>
  </x:conditionalFormatting>
  <x:dataValidations count="6">
    <x:dataValidation type="whole" operator="between" sqref="B8">
      <x:formula1>1</x:formula1>
      <x:formula2>32</x:formula2>
    </x:dataValidation>
    <x:dataValidation type="whole" operator="between" sqref="B9">
      <x:formula1>1</x:formula1>
      <x:formula2>8</x:formula2>
    </x:dataValidation>
    <x:dataValidation type="whole" operator="between" sqref="B13">
      <x:formula1>1</x:formula1>
      <x:formula2>32</x:formula2>
    </x:dataValidation>
    <x:dataValidation type="whole" operator="between" sqref="B14">
      <x:formula1>1</x:formula1>
      <x:formula2>32</x:formula2>
    </x:dataValidation>
    <x:dataValidation type="list" sqref="B11">
      <x:formula1>CatalogoProveedores</x:formula1>
    </x:dataValidation>
    <x:dataValidation type="list" sqref="B12">
      <x:formula1>CatalogoModelos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9354A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8" hidden="0" customWidth="1"/>
    <x:col min="2" max="2" width="40" hidden="0" customWidth="1"/>
    <x:col min="3" max="3" width="12" hidden="0" customWidth="1"/>
    <x:col min="4" max="4" width="24" hidden="0" customWidth="1"/>
    <x:col min="5" max="5" width="40" hidden="0" customWidth="1"/>
    <x:col min="6" max="6" width="24" hidden="0" customWidth="1"/>
    <x:col min="7" max="7" width="14" hidden="0" customWidth="1"/>
    <x:col min="8" max="8" width="40" hidden="0" customWidth="1"/>
    <x:col min="9" max="9" width="10" hidden="0" customWidth="1"/>
    <x:col min="10" max="10" width="16" hidden="0" customWidth="1"/>
    <x:col min="11" max="11" width="24" hidden="0" customWidth="1"/>
    <x:col min="12" max="12" width="26" hidden="0" customWidth="1"/>
    <x:col min="13" max="13" width="25" hidden="0" customWidth="1"/>
    <x:col min="14" max="14" width="31" hidden="0" customWidth="1"/>
    <x:col min="15" max="15" width="7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3" t="str">
        <x:v>Organigrama calculado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5" customHeight="1">
      <x:c r="A4" s="25" t="str">
        <x:v>El nivel 0 es el CEO. El Council reúne a todos los agentes sin crear relaciones de subordinación.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4" customHeight="1">
      <x:c r="A5" s="13" t="str">
        <x:v>Slot</x:v>
      </x:c>
      <x:c r="B5" s="14" t="str">
        <x:v>ID estable</x:v>
      </x:c>
      <x:c r="C5" s="14" t="str">
        <x:v>Activo</x:v>
      </x:c>
      <x:c r="D5" s="14" t="str">
        <x:v>Nombre ficticio</x:v>
      </x:c>
      <x:c r="E5" s="14" t="str">
        <x:v>Cargo</x:v>
      </x:c>
      <x:c r="F5" s="14" t="str">
        <x:v>Área</x:v>
      </x:c>
      <x:c r="G5" s="14" t="str">
        <x:v>Slot superior</x:v>
      </x:c>
      <x:c r="H5" s="14" t="str">
        <x:v>Reporta a ID</x:v>
      </x:c>
      <x:c r="I5" s="14" t="str">
        <x:v>Nivel</x:v>
      </x:c>
      <x:c r="J5" s="14" t="str">
        <x:v>Reportes directos</x:v>
      </x:c>
      <x:c r="K5" s="14" t="str">
        <x:v>Proveedor</x:v>
      </x:c>
      <x:c r="L5" s="14" t="str">
        <x:v>Modelo</x:v>
      </x:c>
      <x:c r="M5" s="14" t="str">
        <x:v>Estado modelo</x:v>
      </x:c>
      <x:c r="N5" s="14" t="str">
        <x:v>Evidencia</x:v>
      </x:c>
      <x:c r="O5" s="15" t="str">
        <x:v>Árbol jerárquico</x:v>
      </x:c>
    </x:row>
    <x:row r="6" ht="44" customHeight="1">
      <x:c r="A6" s="16" t="n">
        <x:v>1</x:v>
      </x:c>
      <x:c r="B6" s="16" t="str">
        <x:f>IF(C6="SI",'Perfiles'!B6,"")</x:f>
        <x:v>bb4f7927-7d2f-4ff7-a467-dc999ac59c2a</x:v>
      </x:c>
      <x:c r="C6" s="16" t="str">
        <x:f>IF('Configuracion'!$B$23&lt;&gt;"VALIDO","INVALIDO",IF(A6&lt;='Configuracion'!$B$8,"SI","NO"))</x:f>
        <x:v>SI</x:v>
      </x:c>
      <x:c r="D6" s="21" t="str">
        <x:f>IF(C6="SI",'Perfiles'!C6,"")</x:f>
        <x:v>Elena Valdés</x:v>
      </x:c>
      <x:c r="E6" s="21" t="str">
        <x:f>IF(C6="SI",'Perfiles'!D6,"")</x:f>
        <x:v>CEO · Dirección de entrega</x:v>
      </x:c>
      <x:c r="F6" s="21" t="str">
        <x:f>IF(C6="SI",'Perfiles'!E6,"")</x:f>
        <x:v>Dirección</x:v>
      </x:c>
      <x:c r="G6" s="21" t="n">
        <x:f>IF(C6="SI",0,"")</x:f>
        <x:v>0</x:v>
      </x:c>
      <x:c r="H6" s="21" t="str">
        <x:f>IF(C6="SI","OWNER_EXTERNAL","")</x:f>
        <x:v>OWNER_EXTERNAL</x:v>
      </x:c>
      <x:c r="I6" s="21" t="n">
        <x:f>IF(C6="SI",0,"")</x:f>
        <x:v>0</x:v>
      </x:c>
      <x:c r="J6" s="21" t="n">
        <x:f>IF(C6="SI",COUNTIFS($H$6:$H$37,B6,$C$6:$C$37,"SI"),"")</x:f>
        <x:v>3</x:v>
      </x:c>
      <x:c r="K6" s="21" t="str">
        <x:f>IF(C6="SI",'Asignacion_modelos'!D6,"")</x:f>
        <x:v>deepseek-official</x:v>
      </x:c>
      <x:c r="L6" s="21" t="str">
        <x:f>IF(C6="SI",'Asignacion_modelos'!E6,"")</x:f>
        <x:v>deepseek-flash</x:v>
      </x:c>
      <x:c r="M6" s="21" t="str">
        <x:f>IF(C6="SI",'Asignacion_modelos'!F6,"")</x:f>
        <x:v>UNVERIFIED</x:v>
      </x:c>
      <x:c r="N6" s="21" t="str">
        <x:f>IF(C6="SI",'Configuracion'!$B$24,"")</x:f>
        <x:v>DISEÑADO_NO_EJECUTADO</x:v>
      </x:c>
      <x:c r="O6" s="21" t="str">
        <x:f>IF(C6="SI",REPT("│  ",I6)&amp;IF(A6=1,"CEO ","└─ ")&amp;A6&amp;". "&amp;D6,"")</x:f>
        <x:v>CEO 1. Elena Valdés</x:v>
      </x:c>
    </x:row>
    <x:row r="7" ht="44" customHeight="1">
      <x:c r="A7" s="2" t="n">
        <x:v>2</x:v>
      </x:c>
      <x:c r="B7" s="2" t="str">
        <x:f>IF(C7="SI",'Perfiles'!B7,"")</x:f>
        <x:v>2e4033f6-9f72-5c6b-9180-6e9aa1efcf9f</x:v>
      </x:c>
      <x:c r="C7" s="2" t="str">
        <x:f>IF('Configuracion'!$B$23&lt;&gt;"VALIDO","INVALIDO",IF(A7&lt;='Configuracion'!$B$8,"SI","NO"))</x:f>
        <x:v>SI</x:v>
      </x:c>
      <x:c r="D7" s="22" t="str">
        <x:f>IF(C7="SI",'Perfiles'!C7,"")</x:f>
        <x:v>Gabriel Montes</x:v>
      </x:c>
      <x:c r="E7" s="22" t="str">
        <x:f>IF(C7="SI",'Perfiles'!D7,"")</x:f>
        <x:v>CTO · Dirección de ingeniería y arquitectura</x:v>
      </x:c>
      <x:c r="F7" s="22" t="str">
        <x:f>IF(C7="SI",'Perfiles'!E7,"")</x:f>
        <x:v>Arquitectura</x:v>
      </x:c>
      <x:c r="G7" s="22" t="n">
        <x:f>IF(C7="SI",INT((A7-2)/'Configuracion'!$B$9)+1,"")</x:f>
        <x:v>1</x:v>
      </x:c>
      <x:c r="H7" s="22" t="str">
        <x:f>IF(C7="SI",INDEX($B$6:$B$37,G7),"")</x:f>
        <x:v>bb4f7927-7d2f-4ff7-a467-dc999ac59c2a</x:v>
      </x:c>
      <x:c r="I7" s="22" t="n">
        <x:f>IF(C7="SI",I6+1,"")</x:f>
        <x:v>1</x:v>
      </x:c>
      <x:c r="J7" s="22" t="n">
        <x:f>IF(C7="SI",COUNTIFS($H$6:$H$37,B7,$C$6:$C$37,"SI"),"")</x:f>
        <x:v>3</x:v>
      </x:c>
      <x:c r="K7" s="22" t="str">
        <x:f>IF(C7="SI",'Asignacion_modelos'!D7,"")</x:f>
        <x:v>deepseek-official</x:v>
      </x:c>
      <x:c r="L7" s="22" t="str">
        <x:f>IF(C7="SI",'Asignacion_modelos'!E7,"")</x:f>
        <x:v>deepseek-flash</x:v>
      </x:c>
      <x:c r="M7" s="22" t="str">
        <x:f>IF(C7="SI",'Asignacion_modelos'!F7,"")</x:f>
        <x:v>UNVERIFIED</x:v>
      </x:c>
      <x:c r="N7" s="22" t="str">
        <x:f>IF(C7="SI",'Configuracion'!$B$24,"")</x:f>
        <x:v>DISEÑADO_NO_EJECUTADO</x:v>
      </x:c>
      <x:c r="O7" s="22" t="str">
        <x:f>IF(C7="SI",REPT("│  ",I7)&amp;IF(A7=1,"CEO ","└─ ")&amp;A7&amp;". "&amp;D7,"")</x:f>
        <x:v>│  └─ 2. Gabriel Montes</x:v>
      </x:c>
    </x:row>
    <x:row r="8" ht="44" customHeight="1">
      <x:c r="A8" s="16" t="n">
        <x:v>3</x:v>
      </x:c>
      <x:c r="B8" s="16" t="str">
        <x:f>IF(C8="SI",'Perfiles'!B8,"")</x:f>
        <x:v>d37e22a3-3427-53f5-a11b-2f741d9ee58a</x:v>
      </x:c>
      <x:c r="C8" s="16" t="str">
        <x:f>IF('Configuracion'!$B$23&lt;&gt;"VALIDO","INVALIDO",IF(A8&lt;='Configuracion'!$B$8,"SI","NO"))</x:f>
        <x:v>SI</x:v>
      </x:c>
      <x:c r="D8" s="21" t="str">
        <x:f>IF(C8="SI",'Perfiles'!C8,"")</x:f>
        <x:v>Santiago Vidal</x:v>
      </x:c>
      <x:c r="E8" s="21" t="str">
        <x:f>IF(C8="SI",'Perfiles'!D8,"")</x:f>
        <x:v>Dirección de aseguramiento y calidad</x:v>
      </x:c>
      <x:c r="F8" s="21" t="str">
        <x:f>IF(C8="SI",'Perfiles'!E8,"")</x:f>
        <x:v>Aseguramiento</x:v>
      </x:c>
      <x:c r="G8" s="21" t="n">
        <x:f>IF(C8="SI",INT((A8-2)/'Configuracion'!$B$9)+1,"")</x:f>
        <x:v>1</x:v>
      </x:c>
      <x:c r="H8" s="21" t="str">
        <x:f>IF(C8="SI",INDEX($B$6:$B$37,G8),"")</x:f>
        <x:v>bb4f7927-7d2f-4ff7-a467-dc999ac59c2a</x:v>
      </x:c>
      <x:c r="I8" s="21" t="n">
        <x:f>IF(C8="SI",INDEX($I$6:I7,G8)+1,"")</x:f>
        <x:v>1</x:v>
      </x:c>
      <x:c r="J8" s="21" t="n">
        <x:f>IF(C8="SI",COUNTIFS($H$6:$H$37,B8,$C$6:$C$37,"SI"),"")</x:f>
        <x:v>3</x:v>
      </x:c>
      <x:c r="K8" s="21" t="str">
        <x:f>IF(C8="SI",'Asignacion_modelos'!D8,"")</x:f>
        <x:v>deepseek-official</x:v>
      </x:c>
      <x:c r="L8" s="21" t="str">
        <x:f>IF(C8="SI",'Asignacion_modelos'!E8,"")</x:f>
        <x:v>deepseek-flash</x:v>
      </x:c>
      <x:c r="M8" s="21" t="str">
        <x:f>IF(C8="SI",'Asignacion_modelos'!F8,"")</x:f>
        <x:v>UNVERIFIED</x:v>
      </x:c>
      <x:c r="N8" s="21" t="str">
        <x:f>IF(C8="SI",'Configuracion'!$B$24,"")</x:f>
        <x:v>DISEÑADO_NO_EJECUTADO</x:v>
      </x:c>
      <x:c r="O8" s="21" t="str">
        <x:f>IF(C8="SI",REPT("│  ",I8)&amp;IF(A8=1,"CEO ","└─ ")&amp;A8&amp;". "&amp;D8,"")</x:f>
        <x:v>│  └─ 3. Santiago Vidal</x:v>
      </x:c>
    </x:row>
    <x:row r="9" ht="44" customHeight="1">
      <x:c r="A9" s="2" t="n">
        <x:v>4</x:v>
      </x:c>
      <x:c r="B9" s="2" t="str">
        <x:f>IF(C9="SI",'Perfiles'!B9,"")</x:f>
        <x:v>039fa8c8-ba62-5929-837c-dd6480445976</x:v>
      </x:c>
      <x:c r="C9" s="2" t="str">
        <x:f>IF('Configuracion'!$B$23&lt;&gt;"VALIDO","INVALIDO",IF(A9&lt;='Configuracion'!$B$8,"SI","NO"))</x:f>
        <x:v>SI</x:v>
      </x:c>
      <x:c r="D9" s="22" t="str">
        <x:f>IF(C9="SI",'Perfiles'!C9,"")</x:f>
        <x:v>Alba Prieto</x:v>
      </x:c>
      <x:c r="E9" s="22" t="str">
        <x:f>IF(C9="SI",'Perfiles'!D9,"")</x:f>
        <x:v>Dirección de operaciones y mandatos</x:v>
      </x:c>
      <x:c r="F9" s="22" t="str">
        <x:f>IF(C9="SI",'Perfiles'!E9,"")</x:f>
        <x:v>Operaciones</x:v>
      </x:c>
      <x:c r="G9" s="22" t="n">
        <x:f>IF(C9="SI",INT((A9-2)/'Configuracion'!$B$9)+1,"")</x:f>
        <x:v>1</x:v>
      </x:c>
      <x:c r="H9" s="22" t="str">
        <x:f>IF(C9="SI",INDEX($B$6:$B$37,G9),"")</x:f>
        <x:v>bb4f7927-7d2f-4ff7-a467-dc999ac59c2a</x:v>
      </x:c>
      <x:c r="I9" s="22" t="n">
        <x:f>IF(C9="SI",INDEX($I$6:I8,G9)+1,"")</x:f>
        <x:v>1</x:v>
      </x:c>
      <x:c r="J9" s="22" t="n">
        <x:f>IF(C9="SI",COUNTIFS($H$6:$H$37,B9,$C$6:$C$37,"SI"),"")</x:f>
        <x:v>3</x:v>
      </x:c>
      <x:c r="K9" s="22" t="str">
        <x:f>IF(C9="SI",'Asignacion_modelos'!D9,"")</x:f>
        <x:v>deepseek-official</x:v>
      </x:c>
      <x:c r="L9" s="22" t="str">
        <x:f>IF(C9="SI",'Asignacion_modelos'!E9,"")</x:f>
        <x:v>deepseek-flash</x:v>
      </x:c>
      <x:c r="M9" s="22" t="str">
        <x:f>IF(C9="SI",'Asignacion_modelos'!F9,"")</x:f>
        <x:v>UNVERIFIED</x:v>
      </x:c>
      <x:c r="N9" s="22" t="str">
        <x:f>IF(C9="SI",'Configuracion'!$B$24,"")</x:f>
        <x:v>DISEÑADO_NO_EJECUTADO</x:v>
      </x:c>
      <x:c r="O9" s="22" t="str">
        <x:f>IF(C9="SI",REPT("│  ",I9)&amp;IF(A9=1,"CEO ","└─ ")&amp;A9&amp;". "&amp;D9,"")</x:f>
        <x:v>│  └─ 4. Alba Prieto</x:v>
      </x:c>
    </x:row>
    <x:row r="10" ht="44" customHeight="1">
      <x:c r="A10" s="16" t="n">
        <x:v>5</x:v>
      </x:c>
      <x:c r="B10" s="16" t="str">
        <x:f>IF(C10="SI",'Perfiles'!B10,"")</x:f>
        <x:v>8869c04c-628b-4bc3-a46c-25acb993b698</x:v>
      </x:c>
      <x:c r="C10" s="16" t="str">
        <x:f>IF('Configuracion'!$B$23&lt;&gt;"VALIDO","INVALIDO",IF(A10&lt;='Configuracion'!$B$8,"SI","NO"))</x:f>
        <x:v>SI</x:v>
      </x:c>
      <x:c r="D10" s="21" t="str">
        <x:f>IF(C10="SI",'Perfiles'!C10,"")</x:f>
        <x:v>Mateo Salvatierra</x:v>
      </x:c>
      <x:c r="E10" s="21" t="str">
        <x:f>IF(C10="SI",'Perfiles'!D10,"")</x:f>
        <x:v>Liderazgo de ingeniería de producto</x:v>
      </x:c>
      <x:c r="F10" s="21" t="str">
        <x:f>IF(C10="SI",'Perfiles'!E10,"")</x:f>
        <x:v>Ingeniería</x:v>
      </x:c>
      <x:c r="G10" s="21" t="n">
        <x:f>IF(C10="SI",INT((A10-2)/'Configuracion'!$B$9)+1,"")</x:f>
        <x:v>2</x:v>
      </x:c>
      <x:c r="H10" s="21" t="str">
        <x:f>IF(C10="SI",INDEX($B$6:$B$37,G10),"")</x:f>
        <x:v>2e4033f6-9f72-5c6b-9180-6e9aa1efcf9f</x:v>
      </x:c>
      <x:c r="I10" s="21" t="n">
        <x:f>IF(C10="SI",INDEX($I$6:I9,G10)+1,"")</x:f>
        <x:v>2</x:v>
      </x:c>
      <x:c r="J10" s="21" t="n">
        <x:f>IF(C10="SI",COUNTIFS($H$6:$H$37,B10,$C$6:$C$37,"SI"),"")</x:f>
        <x:v>3</x:v>
      </x:c>
      <x:c r="K10" s="21" t="str">
        <x:f>IF(C10="SI",'Asignacion_modelos'!D10,"")</x:f>
        <x:v>deepseek-official</x:v>
      </x:c>
      <x:c r="L10" s="21" t="str">
        <x:f>IF(C10="SI",'Asignacion_modelos'!E10,"")</x:f>
        <x:v>deepseek-flash</x:v>
      </x:c>
      <x:c r="M10" s="21" t="str">
        <x:f>IF(C10="SI",'Asignacion_modelos'!F10,"")</x:f>
        <x:v>UNVERIFIED</x:v>
      </x:c>
      <x:c r="N10" s="21" t="str">
        <x:f>IF(C10="SI",'Configuracion'!$B$24,"")</x:f>
        <x:v>DISEÑADO_NO_EJECUTADO</x:v>
      </x:c>
      <x:c r="O10" s="21" t="str">
        <x:f>IF(C10="SI",REPT("│  ",I10)&amp;IF(A10=1,"CEO ","└─ ")&amp;A10&amp;". "&amp;D10,"")</x:f>
        <x:v>│  │  └─ 5. Mateo Salvatierra</x:v>
      </x:c>
    </x:row>
    <x:row r="11" ht="44" customHeight="1">
      <x:c r="A11" s="2" t="n">
        <x:v>6</x:v>
      </x:c>
      <x:c r="B11" s="2" t="str">
        <x:f>IF(C11="SI",'Perfiles'!B11,"")</x:f>
        <x:v>04bb8901-fa3c-545a-878b-a3cf462e3a65</x:v>
      </x:c>
      <x:c r="C11" s="2" t="str">
        <x:f>IF('Configuracion'!$B$23&lt;&gt;"VALIDO","INVALIDO",IF(A11&lt;='Configuracion'!$B$8,"SI","NO"))</x:f>
        <x:v>SI</x:v>
      </x:c>
      <x:c r="D11" s="22" t="str">
        <x:f>IF(C11="SI",'Perfiles'!C11,"")</x:f>
        <x:v>Lucía Ferrer</x:v>
      </x:c>
      <x:c r="E11" s="22" t="str">
        <x:f>IF(C11="SI",'Perfiles'!D11,"")</x:f>
        <x:v>Ingeniería de servicios backend</x:v>
      </x:c>
      <x:c r="F11" s="22" t="str">
        <x:f>IF(C11="SI",'Perfiles'!E11,"")</x:f>
        <x:v>Ingeniería</x:v>
      </x:c>
      <x:c r="G11" s="22" t="n">
        <x:f>IF(C11="SI",INT((A11-2)/'Configuracion'!$B$9)+1,"")</x:f>
        <x:v>2</x:v>
      </x:c>
      <x:c r="H11" s="22" t="str">
        <x:f>IF(C11="SI",INDEX($B$6:$B$37,G11),"")</x:f>
        <x:v>2e4033f6-9f72-5c6b-9180-6e9aa1efcf9f</x:v>
      </x:c>
      <x:c r="I11" s="22" t="n">
        <x:f>IF(C11="SI",INDEX($I$6:I10,G11)+1,"")</x:f>
        <x:v>2</x:v>
      </x:c>
      <x:c r="J11" s="22" t="n">
        <x:f>IF(C11="SI",COUNTIFS($H$6:$H$37,B11,$C$6:$C$37,"SI"),"")</x:f>
        <x:v>3</x:v>
      </x:c>
      <x:c r="K11" s="22" t="str">
        <x:f>IF(C11="SI",'Asignacion_modelos'!D11,"")</x:f>
        <x:v>deepseek-official</x:v>
      </x:c>
      <x:c r="L11" s="22" t="str">
        <x:f>IF(C11="SI",'Asignacion_modelos'!E11,"")</x:f>
        <x:v>deepseek-flash</x:v>
      </x:c>
      <x:c r="M11" s="22" t="str">
        <x:f>IF(C11="SI",'Asignacion_modelos'!F11,"")</x:f>
        <x:v>UNVERIFIED</x:v>
      </x:c>
      <x:c r="N11" s="22" t="str">
        <x:f>IF(C11="SI",'Configuracion'!$B$24,"")</x:f>
        <x:v>DISEÑADO_NO_EJECUTADO</x:v>
      </x:c>
      <x:c r="O11" s="22" t="str">
        <x:f>IF(C11="SI",REPT("│  ",I11)&amp;IF(A11=1,"CEO ","└─ ")&amp;A11&amp;". "&amp;D11,"")</x:f>
        <x:v>│  │  └─ 6. Lucía Ferrer</x:v>
      </x:c>
    </x:row>
    <x:row r="12" ht="44" customHeight="1">
      <x:c r="A12" s="16" t="n">
        <x:v>7</x:v>
      </x:c>
      <x:c r="B12" s="16" t="str">
        <x:f>IF(C12="SI",'Perfiles'!B12,"")</x:f>
        <x:v>d28d2e1d-94c6-55cf-96e3-502260dadeb1</x:v>
      </x:c>
      <x:c r="C12" s="16" t="str">
        <x:f>IF('Configuracion'!$B$23&lt;&gt;"VALIDO","INVALIDO",IF(A12&lt;='Configuracion'!$B$8,"SI","NO"))</x:f>
        <x:v>SI</x:v>
      </x:c>
      <x:c r="D12" s="21" t="str">
        <x:f>IF(C12="SI",'Perfiles'!C12,"")</x:f>
        <x:v>Nicolás Vega</x:v>
      </x:c>
      <x:c r="E12" s="21" t="str">
        <x:f>IF(C12="SI",'Perfiles'!D12,"")</x:f>
        <x:v>Ingeniería de interfaz y accesibilidad</x:v>
      </x:c>
      <x:c r="F12" s="21" t="str">
        <x:f>IF(C12="SI",'Perfiles'!E12,"")</x:f>
        <x:v>Experiencia</x:v>
      </x:c>
      <x:c r="G12" s="21" t="n">
        <x:f>IF(C12="SI",INT((A12-2)/'Configuracion'!$B$9)+1,"")</x:f>
        <x:v>2</x:v>
      </x:c>
      <x:c r="H12" s="21" t="str">
        <x:f>IF(C12="SI",INDEX($B$6:$B$37,G12),"")</x:f>
        <x:v>2e4033f6-9f72-5c6b-9180-6e9aa1efcf9f</x:v>
      </x:c>
      <x:c r="I12" s="21" t="n">
        <x:f>IF(C12="SI",INDEX($I$6:I11,G12)+1,"")</x:f>
        <x:v>2</x:v>
      </x:c>
      <x:c r="J12" s="21" t="n">
        <x:f>IF(C12="SI",COUNTIFS($H$6:$H$37,B12,$C$6:$C$37,"SI"),"")</x:f>
        <x:v>3</x:v>
      </x:c>
      <x:c r="K12" s="21" t="str">
        <x:f>IF(C12="SI",'Asignacion_modelos'!D12,"")</x:f>
        <x:v>deepseek-official</x:v>
      </x:c>
      <x:c r="L12" s="21" t="str">
        <x:f>IF(C12="SI",'Asignacion_modelos'!E12,"")</x:f>
        <x:v>deepseek-flash</x:v>
      </x:c>
      <x:c r="M12" s="21" t="str">
        <x:f>IF(C12="SI",'Asignacion_modelos'!F12,"")</x:f>
        <x:v>UNVERIFIED</x:v>
      </x:c>
      <x:c r="N12" s="21" t="str">
        <x:f>IF(C12="SI",'Configuracion'!$B$24,"")</x:f>
        <x:v>DISEÑADO_NO_EJECUTADO</x:v>
      </x:c>
      <x:c r="O12" s="21" t="str">
        <x:f>IF(C12="SI",REPT("│  ",I12)&amp;IF(A12=1,"CEO ","└─ ")&amp;A12&amp;". "&amp;D12,"")</x:f>
        <x:v>│  │  └─ 7. Nicolás Vega</x:v>
      </x:c>
    </x:row>
    <x:row r="13" ht="44" customHeight="1">
      <x:c r="A13" s="2" t="n">
        <x:v>8</x:v>
      </x:c>
      <x:c r="B13" s="2" t="str">
        <x:f>IF(C13="SI",'Perfiles'!B13,"")</x:f>
        <x:v>8453288b-95e1-456f-8bf5-07f2567c2e90</x:v>
      </x:c>
      <x:c r="C13" s="2" t="str">
        <x:f>IF('Configuracion'!$B$23&lt;&gt;"VALIDO","INVALIDO",IF(A13&lt;='Configuracion'!$B$8,"SI","NO"))</x:f>
        <x:v>SI</x:v>
      </x:c>
      <x:c r="D13" s="22" t="str">
        <x:f>IF(C13="SI",'Perfiles'!C13,"")</x:f>
        <x:v>Inés Robles</x:v>
      </x:c>
      <x:c r="E13" s="22" t="str">
        <x:f>IF(C13="SI",'Perfiles'!D13,"")</x:f>
        <x:v>Dirección de revisión independiente</x:v>
      </x:c>
      <x:c r="F13" s="22" t="str">
        <x:f>IF(C13="SI",'Perfiles'!E13,"")</x:f>
        <x:v>Aseguramiento</x:v>
      </x:c>
      <x:c r="G13" s="22" t="n">
        <x:f>IF(C13="SI",INT((A13-2)/'Configuracion'!$B$9)+1,"")</x:f>
        <x:v>3</x:v>
      </x:c>
      <x:c r="H13" s="22" t="str">
        <x:f>IF(C13="SI",INDEX($B$6:$B$37,G13),"")</x:f>
        <x:v>d37e22a3-3427-53f5-a11b-2f741d9ee58a</x:v>
      </x:c>
      <x:c r="I13" s="22" t="n">
        <x:f>IF(C13="SI",INDEX($I$6:I12,G13)+1,"")</x:f>
        <x:v>2</x:v>
      </x:c>
      <x:c r="J13" s="22" t="n">
        <x:f>IF(C13="SI",COUNTIFS($H$6:$H$37,B13,$C$6:$C$37,"SI"),"")</x:f>
        <x:v>2</x:v>
      </x:c>
      <x:c r="K13" s="22" t="str">
        <x:f>IF(C13="SI",'Asignacion_modelos'!D13,"")</x:f>
        <x:v>deepseek-official</x:v>
      </x:c>
      <x:c r="L13" s="22" t="str">
        <x:f>IF(C13="SI",'Asignacion_modelos'!E13,"")</x:f>
        <x:v>deepseek-flash</x:v>
      </x:c>
      <x:c r="M13" s="22" t="str">
        <x:f>IF(C13="SI",'Asignacion_modelos'!F13,"")</x:f>
        <x:v>UNVERIFIED</x:v>
      </x:c>
      <x:c r="N13" s="22" t="str">
        <x:f>IF(C13="SI",'Configuracion'!$B$24,"")</x:f>
        <x:v>DISEÑADO_NO_EJECUTADO</x:v>
      </x:c>
      <x:c r="O13" s="22" t="str">
        <x:f>IF(C13="SI",REPT("│  ",I13)&amp;IF(A13=1,"CEO ","└─ ")&amp;A13&amp;". "&amp;D13,"")</x:f>
        <x:v>│  │  └─ 8. Inés Robles</x:v>
      </x:c>
    </x:row>
    <x:row r="14" ht="44" customHeight="1">
      <x:c r="A14" s="16" t="n">
        <x:v>9</x:v>
      </x:c>
      <x:c r="B14" s="16" t="str">
        <x:f>IF(C14="SI",'Perfiles'!B14,"")</x:f>
        <x:v>24234d32-aec2-5b8f-8aa9-3dbf492c3c3c</x:v>
      </x:c>
      <x:c r="C14" s="16" t="str">
        <x:f>IF('Configuracion'!$B$23&lt;&gt;"VALIDO","INVALIDO",IF(A14&lt;='Configuracion'!$B$8,"SI","NO"))</x:f>
        <x:v>SI</x:v>
      </x:c>
      <x:c r="D14" s="21" t="str">
        <x:f>IF(C14="SI",'Perfiles'!C14,"")</x:f>
        <x:v>Valeria Ríos</x:v>
      </x:c>
      <x:c r="E14" s="21" t="str">
        <x:f>IF(C14="SI",'Perfiles'!D14,"")</x:f>
        <x:v>Auditoría de seguridad y confianza</x:v>
      </x:c>
      <x:c r="F14" s="21" t="str">
        <x:f>IF(C14="SI",'Perfiles'!E14,"")</x:f>
        <x:v>Aseguramiento</x:v>
      </x:c>
      <x:c r="G14" s="21" t="n">
        <x:f>IF(C14="SI",INT((A14-2)/'Configuracion'!$B$9)+1,"")</x:f>
        <x:v>3</x:v>
      </x:c>
      <x:c r="H14" s="21" t="str">
        <x:f>IF(C14="SI",INDEX($B$6:$B$37,G14),"")</x:f>
        <x:v>d37e22a3-3427-53f5-a11b-2f741d9ee58a</x:v>
      </x:c>
      <x:c r="I14" s="21" t="n">
        <x:f>IF(C14="SI",INDEX($I$6:I13,G14)+1,"")</x:f>
        <x:v>2</x:v>
      </x:c>
      <x:c r="J14" s="21" t="n">
        <x:f>IF(C14="SI",COUNTIFS($H$6:$H$37,B14,$C$6:$C$37,"SI"),"")</x:f>
        <x:v>0</x:v>
      </x:c>
      <x:c r="K14" s="21" t="str">
        <x:f>IF(C14="SI",'Asignacion_modelos'!D14,"")</x:f>
        <x:v>deepseek-official</x:v>
      </x:c>
      <x:c r="L14" s="21" t="str">
        <x:f>IF(C14="SI",'Asignacion_modelos'!E14,"")</x:f>
        <x:v>deepseek-flash</x:v>
      </x:c>
      <x:c r="M14" s="21" t="str">
        <x:f>IF(C14="SI",'Asignacion_modelos'!F14,"")</x:f>
        <x:v>UNVERIFIED</x:v>
      </x:c>
      <x:c r="N14" s="21" t="str">
        <x:f>IF(C14="SI",'Configuracion'!$B$24,"")</x:f>
        <x:v>DISEÑADO_NO_EJECUTADO</x:v>
      </x:c>
      <x:c r="O14" s="21" t="str">
        <x:f>IF(C14="SI",REPT("│  ",I14)&amp;IF(A14=1,"CEO ","└─ ")&amp;A14&amp;". "&amp;D14,"")</x:f>
        <x:v>│  │  └─ 9. Valeria Ríos</x:v>
      </x:c>
    </x:row>
    <x:row r="15" ht="44" customHeight="1">
      <x:c r="A15" s="2" t="n">
        <x:v>10</x:v>
      </x:c>
      <x:c r="B15" s="2" t="str">
        <x:f>IF(C15="SI",'Perfiles'!B15,"")</x:f>
        <x:v>2afbda5b-fcb1-55de-aac1-1d3a29e2662b</x:v>
      </x:c>
      <x:c r="C15" s="2" t="str">
        <x:f>IF('Configuracion'!$B$23&lt;&gt;"VALIDO","INVALIDO",IF(A15&lt;='Configuracion'!$B$8,"SI","NO"))</x:f>
        <x:v>SI</x:v>
      </x:c>
      <x:c r="D15" s="22" t="str">
        <x:f>IF(C15="SI",'Perfiles'!C15,"")</x:f>
        <x:v>Iván Olivares</x:v>
      </x:c>
      <x:c r="E15" s="22" t="str">
        <x:f>IF(C15="SI",'Perfiles'!D15,"")</x:f>
        <x:v>Auditoría final de evidencia</x:v>
      </x:c>
      <x:c r="F15" s="22" t="str">
        <x:f>IF(C15="SI",'Perfiles'!E15,"")</x:f>
        <x:v>Aseguramiento</x:v>
      </x:c>
      <x:c r="G15" s="22" t="n">
        <x:f>IF(C15="SI",INT((A15-2)/'Configuracion'!$B$9)+1,"")</x:f>
        <x:v>3</x:v>
      </x:c>
      <x:c r="H15" s="22" t="str">
        <x:f>IF(C15="SI",INDEX($B$6:$B$37,G15),"")</x:f>
        <x:v>d37e22a3-3427-53f5-a11b-2f741d9ee58a</x:v>
      </x:c>
      <x:c r="I15" s="22" t="n">
        <x:f>IF(C15="SI",INDEX($I$6:I14,G15)+1,"")</x:f>
        <x:v>2</x:v>
      </x:c>
      <x:c r="J15" s="22" t="n">
        <x:f>IF(C15="SI",COUNTIFS($H$6:$H$37,B15,$C$6:$C$37,"SI"),"")</x:f>
        <x:v>0</x:v>
      </x:c>
      <x:c r="K15" s="22" t="str">
        <x:f>IF(C15="SI",'Asignacion_modelos'!D15,"")</x:f>
        <x:v>deepseek-official</x:v>
      </x:c>
      <x:c r="L15" s="22" t="str">
        <x:f>IF(C15="SI",'Asignacion_modelos'!E15,"")</x:f>
        <x:v>deepseek-flash</x:v>
      </x:c>
      <x:c r="M15" s="22" t="str">
        <x:f>IF(C15="SI",'Asignacion_modelos'!F15,"")</x:f>
        <x:v>UNVERIFIED</x:v>
      </x:c>
      <x:c r="N15" s="22" t="str">
        <x:f>IF(C15="SI",'Configuracion'!$B$24,"")</x:f>
        <x:v>DISEÑADO_NO_EJECUTADO</x:v>
      </x:c>
      <x:c r="O15" s="22" t="str">
        <x:f>IF(C15="SI",REPT("│  ",I15)&amp;IF(A15=1,"CEO ","└─ ")&amp;A15&amp;". "&amp;D15,"")</x:f>
        <x:v>│  │  └─ 10. Iván Olivares</x:v>
      </x:c>
    </x:row>
    <x:row r="16" ht="44" customHeight="1">
      <x:c r="A16" s="16" t="n">
        <x:v>11</x:v>
      </x:c>
      <x:c r="B16" s="16" t="str">
        <x:f>IF(C16="SI",'Perfiles'!B16,"")</x:f>
        <x:v>d345c7bf-a05e-58bb-a434-412a8e018900</x:v>
      </x:c>
      <x:c r="C16" s="16" t="str">
        <x:f>IF('Configuracion'!$B$23&lt;&gt;"VALIDO","INVALIDO",IF(A16&lt;='Configuracion'!$B$8,"SI","NO"))</x:f>
        <x:v>SI</x:v>
      </x:c>
      <x:c r="D16" s="21" t="str">
        <x:f>IF(C16="SI",'Perfiles'!C16,"")</x:f>
        <x:v>Andrés Leiva</x:v>
      </x:c>
      <x:c r="E16" s="21" t="str">
        <x:f>IF(C16="SI",'Perfiles'!D16,"")</x:f>
        <x:v>Ingeniería de fiabilidad y operación</x:v>
      </x:c>
      <x:c r="F16" s="21" t="str">
        <x:f>IF(C16="SI",'Perfiles'!E16,"")</x:f>
        <x:v>Operaciones</x:v>
      </x:c>
      <x:c r="G16" s="21" t="n">
        <x:f>IF(C16="SI",INT((A16-2)/'Configuracion'!$B$9)+1,"")</x:f>
        <x:v>4</x:v>
      </x:c>
      <x:c r="H16" s="21" t="str">
        <x:f>IF(C16="SI",INDEX($B$6:$B$37,G16),"")</x:f>
        <x:v>039fa8c8-ba62-5929-837c-dd6480445976</x:v>
      </x:c>
      <x:c r="I16" s="21" t="n">
        <x:f>IF(C16="SI",INDEX($I$6:I15,G16)+1,"")</x:f>
        <x:v>2</x:v>
      </x:c>
      <x:c r="J16" s="21" t="n">
        <x:f>IF(C16="SI",COUNTIFS($H$6:$H$37,B16,$C$6:$C$37,"SI"),"")</x:f>
        <x:v>0</x:v>
      </x:c>
      <x:c r="K16" s="21" t="str">
        <x:f>IF(C16="SI",'Asignacion_modelos'!D16,"")</x:f>
        <x:v>deepseek-official</x:v>
      </x:c>
      <x:c r="L16" s="21" t="str">
        <x:f>IF(C16="SI",'Asignacion_modelos'!E16,"")</x:f>
        <x:v>deepseek-flash</x:v>
      </x:c>
      <x:c r="M16" s="21" t="str">
        <x:f>IF(C16="SI",'Asignacion_modelos'!F16,"")</x:f>
        <x:v>UNVERIFIED</x:v>
      </x:c>
      <x:c r="N16" s="21" t="str">
        <x:f>IF(C16="SI",'Configuracion'!$B$24,"")</x:f>
        <x:v>DISEÑADO_NO_EJECUTADO</x:v>
      </x:c>
      <x:c r="O16" s="21" t="str">
        <x:f>IF(C16="SI",REPT("│  ",I16)&amp;IF(A16=1,"CEO ","└─ ")&amp;A16&amp;". "&amp;D16,"")</x:f>
        <x:v>│  │  └─ 11. Andrés Leiva</x:v>
      </x:c>
    </x:row>
    <x:row r="17" ht="44" customHeight="1">
      <x:c r="A17" s="2" t="n">
        <x:v>12</x:v>
      </x:c>
      <x:c r="B17" s="2" t="str">
        <x:f>IF(C17="SI",'Perfiles'!B17,"")</x:f>
        <x:v>07345392-10e4-596b-8261-723199a106c2</x:v>
      </x:c>
      <x:c r="C17" s="2" t="str">
        <x:f>IF('Configuracion'!$B$23&lt;&gt;"VALIDO","INVALIDO",IF(A17&lt;='Configuracion'!$B$8,"SI","NO"))</x:f>
        <x:v>SI</x:v>
      </x:c>
      <x:c r="D17" s="22" t="str">
        <x:f>IF(C17="SI",'Perfiles'!C17,"")</x:f>
        <x:v>Hugo Serrano</x:v>
      </x:c>
      <x:c r="E17" s="22" t="str">
        <x:f>IF(C17="SI",'Perfiles'!D17,"")</x:f>
        <x:v>Auditoría de conciliación y valor</x:v>
      </x:c>
      <x:c r="F17" s="22" t="str">
        <x:f>IF(C17="SI",'Perfiles'!E17,"")</x:f>
        <x:v>Aseguramiento</x:v>
      </x:c>
      <x:c r="G17" s="22" t="n">
        <x:f>IF(C17="SI",INT((A17-2)/'Configuracion'!$B$9)+1,"")</x:f>
        <x:v>4</x:v>
      </x:c>
      <x:c r="H17" s="22" t="str">
        <x:f>IF(C17="SI",INDEX($B$6:$B$37,G17),"")</x:f>
        <x:v>039fa8c8-ba62-5929-837c-dd6480445976</x:v>
      </x:c>
      <x:c r="I17" s="22" t="n">
        <x:f>IF(C17="SI",INDEX($I$6:I16,G17)+1,"")</x:f>
        <x:v>2</x:v>
      </x:c>
      <x:c r="J17" s="22" t="n">
        <x:f>IF(C17="SI",COUNTIFS($H$6:$H$37,B17,$C$6:$C$37,"SI"),"")</x:f>
        <x:v>0</x:v>
      </x:c>
      <x:c r="K17" s="22" t="str">
        <x:f>IF(C17="SI",'Asignacion_modelos'!D17,"")</x:f>
        <x:v>deepseek-official</x:v>
      </x:c>
      <x:c r="L17" s="22" t="str">
        <x:f>IF(C17="SI",'Asignacion_modelos'!E17,"")</x:f>
        <x:v>deepseek-flash</x:v>
      </x:c>
      <x:c r="M17" s="22" t="str">
        <x:f>IF(C17="SI",'Asignacion_modelos'!F17,"")</x:f>
        <x:v>UNVERIFIED</x:v>
      </x:c>
      <x:c r="N17" s="22" t="str">
        <x:f>IF(C17="SI",'Configuracion'!$B$24,"")</x:f>
        <x:v>DISEÑADO_NO_EJECUTADO</x:v>
      </x:c>
      <x:c r="O17" s="22" t="str">
        <x:f>IF(C17="SI",REPT("│  ",I17)&amp;IF(A17=1,"CEO ","└─ ")&amp;A17&amp;". "&amp;D17,"")</x:f>
        <x:v>│  │  └─ 12. Hugo Serrano</x:v>
      </x:c>
    </x:row>
    <x:row r="18" ht="44" customHeight="1">
      <x:c r="A18" s="16" t="n">
        <x:v>13</x:v>
      </x:c>
      <x:c r="B18" s="16" t="str">
        <x:f>IF(C18="SI",'Perfiles'!B18,"")</x:f>
        <x:v>671a9d2a-3d9b-59c7-a72d-d2bb53363c01</x:v>
      </x:c>
      <x:c r="C18" s="16" t="str">
        <x:f>IF('Configuracion'!$B$23&lt;&gt;"VALIDO","INVALIDO",IF(A18&lt;='Configuracion'!$B$8,"SI","NO"))</x:f>
        <x:v>SI</x:v>
      </x:c>
      <x:c r="D18" s="21" t="str">
        <x:f>IF(C18="SI",'Perfiles'!C18,"")</x:f>
        <x:v>Sofía Montalvo</x:v>
      </x:c>
      <x:c r="E18" s="21" t="str">
        <x:f>IF(C18="SI",'Perfiles'!D18,"")</x:f>
        <x:v>Gestión de integración y publicación</x:v>
      </x:c>
      <x:c r="F18" s="21" t="str">
        <x:f>IF(C18="SI",'Perfiles'!E18,"")</x:f>
        <x:v>Entrega</x:v>
      </x:c>
      <x:c r="G18" s="21" t="n">
        <x:f>IF(C18="SI",INT((A18-2)/'Configuracion'!$B$9)+1,"")</x:f>
        <x:v>4</x:v>
      </x:c>
      <x:c r="H18" s="21" t="str">
        <x:f>IF(C18="SI",INDEX($B$6:$B$37,G18),"")</x:f>
        <x:v>039fa8c8-ba62-5929-837c-dd6480445976</x:v>
      </x:c>
      <x:c r="I18" s="21" t="n">
        <x:f>IF(C18="SI",INDEX($I$6:I17,G18)+1,"")</x:f>
        <x:v>2</x:v>
      </x:c>
      <x:c r="J18" s="21" t="n">
        <x:f>IF(C18="SI",COUNTIFS($H$6:$H$37,B18,$C$6:$C$37,"SI"),"")</x:f>
        <x:v>0</x:v>
      </x:c>
      <x:c r="K18" s="21" t="str">
        <x:f>IF(C18="SI",'Asignacion_modelos'!D18,"")</x:f>
        <x:v>deepseek-official</x:v>
      </x:c>
      <x:c r="L18" s="21" t="str">
        <x:f>IF(C18="SI",'Asignacion_modelos'!E18,"")</x:f>
        <x:v>deepseek-flash</x:v>
      </x:c>
      <x:c r="M18" s="21" t="str">
        <x:f>IF(C18="SI",'Asignacion_modelos'!F18,"")</x:f>
        <x:v>UNVERIFIED</x:v>
      </x:c>
      <x:c r="N18" s="21" t="str">
        <x:f>IF(C18="SI",'Configuracion'!$B$24,"")</x:f>
        <x:v>DISEÑADO_NO_EJECUTADO</x:v>
      </x:c>
      <x:c r="O18" s="21" t="str">
        <x:f>IF(C18="SI",REPT("│  ",I18)&amp;IF(A18=1,"CEO ","└─ ")&amp;A18&amp;". "&amp;D18,"")</x:f>
        <x:v>│  │  └─ 13. Sofía Montalvo</x:v>
      </x:c>
    </x:row>
    <x:row r="19" ht="44" customHeight="1">
      <x:c r="A19" s="2" t="n">
        <x:v>14</x:v>
      </x:c>
      <x:c r="B19" s="2" t="str">
        <x:f>IF(C19="SI",'Perfiles'!B19,"")</x:f>
        <x:v>fecfbc1e-c2cd-54a1-a338-63717e2da523</x:v>
      </x:c>
      <x:c r="C19" s="2" t="str">
        <x:f>IF('Configuracion'!$B$23&lt;&gt;"VALIDO","INVALIDO",IF(A19&lt;='Configuracion'!$B$8,"SI","NO"))</x:f>
        <x:v>SI</x:v>
      </x:c>
      <x:c r="D19" s="22" t="str">
        <x:f>IF(C19="SI",'Perfiles'!C19,"")</x:f>
        <x:v>Adriana Soler</x:v>
      </x:c>
      <x:c r="E19" s="22" t="str">
        <x:f>IF(C19="SI",'Perfiles'!D19,"")</x:f>
        <x:v>Ingeniería de datos y persistencia</x:v>
      </x:c>
      <x:c r="F19" s="22" t="str">
        <x:f>IF(C19="SI",'Perfiles'!E19,"")</x:f>
        <x:v>Datos</x:v>
      </x:c>
      <x:c r="G19" s="22" t="n">
        <x:f>IF(C19="SI",INT((A19-2)/'Configuracion'!$B$9)+1,"")</x:f>
        <x:v>5</x:v>
      </x:c>
      <x:c r="H19" s="22" t="str">
        <x:f>IF(C19="SI",INDEX($B$6:$B$37,G19),"")</x:f>
        <x:v>8869c04c-628b-4bc3-a46c-25acb993b698</x:v>
      </x:c>
      <x:c r="I19" s="22" t="n">
        <x:f>IF(C19="SI",INDEX($I$6:I18,G19)+1,"")</x:f>
        <x:v>3</x:v>
      </x:c>
      <x:c r="J19" s="22" t="n">
        <x:f>IF(C19="SI",COUNTIFS($H$6:$H$37,B19,$C$6:$C$37,"SI"),"")</x:f>
        <x:v>0</x:v>
      </x:c>
      <x:c r="K19" s="22" t="str">
        <x:f>IF(C19="SI",'Asignacion_modelos'!D19,"")</x:f>
        <x:v>deepseek-official</x:v>
      </x:c>
      <x:c r="L19" s="22" t="str">
        <x:f>IF(C19="SI",'Asignacion_modelos'!E19,"")</x:f>
        <x:v>deepseek-flash</x:v>
      </x:c>
      <x:c r="M19" s="22" t="str">
        <x:f>IF(C19="SI",'Asignacion_modelos'!F19,"")</x:f>
        <x:v>UNVERIFIED</x:v>
      </x:c>
      <x:c r="N19" s="22" t="str">
        <x:f>IF(C19="SI",'Configuracion'!$B$24,"")</x:f>
        <x:v>DISEÑADO_NO_EJECUTADO</x:v>
      </x:c>
      <x:c r="O19" s="22" t="str">
        <x:f>IF(C19="SI",REPT("│  ",I19)&amp;IF(A19=1,"CEO ","└─ ")&amp;A19&amp;". "&amp;D19,"")</x:f>
        <x:v>│  │  │  └─ 14. Adriana Soler</x:v>
      </x:c>
    </x:row>
    <x:row r="20" ht="44" customHeight="1">
      <x:c r="A20" s="16" t="n">
        <x:v>15</x:v>
      </x:c>
      <x:c r="B20" s="16" t="str">
        <x:f>IF(C20="SI",'Perfiles'!B20,"")</x:f>
        <x:v>1379d506-d159-59a8-9f7b-7e017d2f464d</x:v>
      </x:c>
      <x:c r="C20" s="16" t="str">
        <x:f>IF('Configuracion'!$B$23&lt;&gt;"VALIDO","INVALIDO",IF(A20&lt;='Configuracion'!$B$8,"SI","NO"))</x:f>
        <x:v>SI</x:v>
      </x:c>
      <x:c r="D20" s="21" t="str">
        <x:f>IF(C20="SI",'Perfiles'!C20,"")</x:f>
        <x:v>Tomás Aranda</x:v>
      </x:c>
      <x:c r="E20" s="21" t="str">
        <x:f>IF(C20="SI",'Perfiles'!D20,"")</x:f>
        <x:v>Ingeniería de integraciones</x:v>
      </x:c>
      <x:c r="F20" s="21" t="str">
        <x:f>IF(C20="SI",'Perfiles'!E20,"")</x:f>
        <x:v>Plataforma</x:v>
      </x:c>
      <x:c r="G20" s="21" t="n">
        <x:f>IF(C20="SI",INT((A20-2)/'Configuracion'!$B$9)+1,"")</x:f>
        <x:v>5</x:v>
      </x:c>
      <x:c r="H20" s="21" t="str">
        <x:f>IF(C20="SI",INDEX($B$6:$B$37,G20),"")</x:f>
        <x:v>8869c04c-628b-4bc3-a46c-25acb993b698</x:v>
      </x:c>
      <x:c r="I20" s="21" t="n">
        <x:f>IF(C20="SI",INDEX($I$6:I19,G20)+1,"")</x:f>
        <x:v>3</x:v>
      </x:c>
      <x:c r="J20" s="21" t="n">
        <x:f>IF(C20="SI",COUNTIFS($H$6:$H$37,B20,$C$6:$C$37,"SI"),"")</x:f>
        <x:v>0</x:v>
      </x:c>
      <x:c r="K20" s="21" t="str">
        <x:f>IF(C20="SI",'Asignacion_modelos'!D20,"")</x:f>
        <x:v>deepseek-official</x:v>
      </x:c>
      <x:c r="L20" s="21" t="str">
        <x:f>IF(C20="SI",'Asignacion_modelos'!E20,"")</x:f>
        <x:v>deepseek-flash</x:v>
      </x:c>
      <x:c r="M20" s="21" t="str">
        <x:f>IF(C20="SI",'Asignacion_modelos'!F20,"")</x:f>
        <x:v>UNVERIFIED</x:v>
      </x:c>
      <x:c r="N20" s="21" t="str">
        <x:f>IF(C20="SI",'Configuracion'!$B$24,"")</x:f>
        <x:v>DISEÑADO_NO_EJECUTADO</x:v>
      </x:c>
      <x:c r="O20" s="21" t="str">
        <x:f>IF(C20="SI",REPT("│  ",I20)&amp;IF(A20=1,"CEO ","└─ ")&amp;A20&amp;". "&amp;D20,"")</x:f>
        <x:v>│  │  │  └─ 15. Tomás Aranda</x:v>
      </x:c>
    </x:row>
    <x:row r="21" ht="44" customHeight="1">
      <x:c r="A21" s="2" t="n">
        <x:v>16</x:v>
      </x:c>
      <x:c r="B21" s="2" t="str">
        <x:f>IF(C21="SI",'Perfiles'!B21,"")</x:f>
        <x:v>3de093dc-2587-582d-9d90-d593478fc65a</x:v>
      </x:c>
      <x:c r="C21" s="2" t="str">
        <x:f>IF('Configuracion'!$B$23&lt;&gt;"VALIDO","INVALIDO",IF(A21&lt;='Configuracion'!$B$8,"SI","NO"))</x:f>
        <x:v>SI</x:v>
      </x:c>
      <x:c r="D21" s="22" t="str">
        <x:f>IF(C21="SI",'Perfiles'!C21,"")</x:f>
        <x:v>Diego Cárdenas</x:v>
      </x:c>
      <x:c r="E21" s="22" t="str">
        <x:f>IF(C21="SI",'Perfiles'!D21,"")</x:f>
        <x:v>Ingeniería de contratos y transacciones</x:v>
      </x:c>
      <x:c r="F21" s="22" t="str">
        <x:f>IF(C21="SI",'Perfiles'!E21,"")</x:f>
        <x:v>Seguridad técnica</x:v>
      </x:c>
      <x:c r="G21" s="22" t="n">
        <x:f>IF(C21="SI",INT((A21-2)/'Configuracion'!$B$9)+1,"")</x:f>
        <x:v>5</x:v>
      </x:c>
      <x:c r="H21" s="22" t="str">
        <x:f>IF(C21="SI",INDEX($B$6:$B$37,G21),"")</x:f>
        <x:v>8869c04c-628b-4bc3-a46c-25acb993b698</x:v>
      </x:c>
      <x:c r="I21" s="22" t="n">
        <x:f>IF(C21="SI",INDEX($I$6:I20,G21)+1,"")</x:f>
        <x:v>3</x:v>
      </x:c>
      <x:c r="J21" s="22" t="n">
        <x:f>IF(C21="SI",COUNTIFS($H$6:$H$37,B21,$C$6:$C$37,"SI"),"")</x:f>
        <x:v>0</x:v>
      </x:c>
      <x:c r="K21" s="22" t="str">
        <x:f>IF(C21="SI",'Asignacion_modelos'!D21,"")</x:f>
        <x:v>deepseek-official</x:v>
      </x:c>
      <x:c r="L21" s="22" t="str">
        <x:f>IF(C21="SI",'Asignacion_modelos'!E21,"")</x:f>
        <x:v>deepseek-flash</x:v>
      </x:c>
      <x:c r="M21" s="22" t="str">
        <x:f>IF(C21="SI",'Asignacion_modelos'!F21,"")</x:f>
        <x:v>UNVERIFIED</x:v>
      </x:c>
      <x:c r="N21" s="22" t="str">
        <x:f>IF(C21="SI",'Configuracion'!$B$24,"")</x:f>
        <x:v>DISEÑADO_NO_EJECUTADO</x:v>
      </x:c>
      <x:c r="O21" s="22" t="str">
        <x:f>IF(C21="SI",REPT("│  ",I21)&amp;IF(A21=1,"CEO ","└─ ")&amp;A21&amp;". "&amp;D21,"")</x:f>
        <x:v>│  │  │  └─ 16. Diego Cárdenas</x:v>
      </x:c>
    </x:row>
    <x:row r="22" ht="44" customHeight="1">
      <x:c r="A22" s="16" t="n">
        <x:v>17</x:v>
      </x:c>
      <x:c r="B22" s="16" t="str">
        <x:f>IF(C22="SI",'Perfiles'!B22,"")</x:f>
        <x:v>3c77aa48-d378-5352-b961-686581792862</x:v>
      </x:c>
      <x:c r="C22" s="16" t="str">
        <x:f>IF('Configuracion'!$B$23&lt;&gt;"VALIDO","INVALIDO",IF(A22&lt;='Configuracion'!$B$8,"SI","NO"))</x:f>
        <x:v>SI</x:v>
      </x:c>
      <x:c r="D22" s="21" t="str">
        <x:f>IF(C22="SI",'Perfiles'!C22,"")</x:f>
        <x:v>Clara Beltrán</x:v>
      </x:c>
      <x:c r="E22" s="21" t="str">
        <x:f>IF(C22="SI",'Perfiles'!D22,"")</x:f>
        <x:v>Investigación cuantitativa y validación matemática</x:v>
      </x:c>
      <x:c r="F22" s="21" t="str">
        <x:f>IF(C22="SI",'Perfiles'!E22,"")</x:f>
        <x:v>Investigación</x:v>
      </x:c>
      <x:c r="G22" s="21" t="n">
        <x:f>IF(C22="SI",INT((A22-2)/'Configuracion'!$B$9)+1,"")</x:f>
        <x:v>6</x:v>
      </x:c>
      <x:c r="H22" s="21" t="str">
        <x:f>IF(C22="SI",INDEX($B$6:$B$37,G22),"")</x:f>
        <x:v>04bb8901-fa3c-545a-878b-a3cf462e3a65</x:v>
      </x:c>
      <x:c r="I22" s="21" t="n">
        <x:f>IF(C22="SI",INDEX($I$6:I21,G22)+1,"")</x:f>
        <x:v>3</x:v>
      </x:c>
      <x:c r="J22" s="21" t="n">
        <x:f>IF(C22="SI",COUNTIFS($H$6:$H$37,B22,$C$6:$C$37,"SI"),"")</x:f>
        <x:v>0</x:v>
      </x:c>
      <x:c r="K22" s="21" t="str">
        <x:f>IF(C22="SI",'Asignacion_modelos'!D22,"")</x:f>
        <x:v>deepseek-official</x:v>
      </x:c>
      <x:c r="L22" s="21" t="str">
        <x:f>IF(C22="SI",'Asignacion_modelos'!E22,"")</x:f>
        <x:v>deepseek-flash</x:v>
      </x:c>
      <x:c r="M22" s="21" t="str">
        <x:f>IF(C22="SI",'Asignacion_modelos'!F22,"")</x:f>
        <x:v>UNVERIFIED</x:v>
      </x:c>
      <x:c r="N22" s="21" t="str">
        <x:f>IF(C22="SI",'Configuracion'!$B$24,"")</x:f>
        <x:v>DISEÑADO_NO_EJECUTADO</x:v>
      </x:c>
      <x:c r="O22" s="21" t="str">
        <x:f>IF(C22="SI",REPT("│  ",I22)&amp;IF(A22=1,"CEO ","└─ ")&amp;A22&amp;". "&amp;D22,"")</x:f>
        <x:v>│  │  │  └─ 17. Clara Beltrán</x:v>
      </x:c>
    </x:row>
    <x:row r="23" ht="44" customHeight="1">
      <x:c r="A23" s="2" t="n">
        <x:v>18</x:v>
      </x:c>
      <x:c r="B23" s="2" t="str">
        <x:f>IF(C23="SI",'Perfiles'!B23,"")</x:f>
        <x:v>c8fe5355-4371-5e3f-8a3f-160bcb90fdbb</x:v>
      </x:c>
      <x:c r="C23" s="2" t="str">
        <x:f>IF('Configuracion'!$B$23&lt;&gt;"VALIDO","INVALIDO",IF(A23&lt;='Configuracion'!$B$8,"SI","NO"))</x:f>
        <x:v>SI</x:v>
      </x:c>
      <x:c r="D23" s="22" t="str">
        <x:f>IF(C23="SI",'Perfiles'!C23,"")</x:f>
        <x:v>Marina Duarte</x:v>
      </x:c>
      <x:c r="E23" s="22" t="str">
        <x:f>IF(C23="SI",'Perfiles'!D23,"")</x:f>
        <x:v>Ingeniería de grafos y búsqueda</x:v>
      </x:c>
      <x:c r="F23" s="22" t="str">
        <x:f>IF(C23="SI",'Perfiles'!E23,"")</x:f>
        <x:v>Algoritmos</x:v>
      </x:c>
      <x:c r="G23" s="22" t="n">
        <x:f>IF(C23="SI",INT((A23-2)/'Configuracion'!$B$9)+1,"")</x:f>
        <x:v>6</x:v>
      </x:c>
      <x:c r="H23" s="22" t="str">
        <x:f>IF(C23="SI",INDEX($B$6:$B$37,G23),"")</x:f>
        <x:v>04bb8901-fa3c-545a-878b-a3cf462e3a65</x:v>
      </x:c>
      <x:c r="I23" s="22" t="n">
        <x:f>IF(C23="SI",INDEX($I$6:I22,G23)+1,"")</x:f>
        <x:v>3</x:v>
      </x:c>
      <x:c r="J23" s="22" t="n">
        <x:f>IF(C23="SI",COUNTIFS($H$6:$H$37,B23,$C$6:$C$37,"SI"),"")</x:f>
        <x:v>0</x:v>
      </x:c>
      <x:c r="K23" s="22" t="str">
        <x:f>IF(C23="SI",'Asignacion_modelos'!D23,"")</x:f>
        <x:v>deepseek-official</x:v>
      </x:c>
      <x:c r="L23" s="22" t="str">
        <x:f>IF(C23="SI",'Asignacion_modelos'!E23,"")</x:f>
        <x:v>deepseek-flash</x:v>
      </x:c>
      <x:c r="M23" s="22" t="str">
        <x:f>IF(C23="SI",'Asignacion_modelos'!F23,"")</x:f>
        <x:v>UNVERIFIED</x:v>
      </x:c>
      <x:c r="N23" s="22" t="str">
        <x:f>IF(C23="SI",'Configuracion'!$B$24,"")</x:f>
        <x:v>DISEÑADO_NO_EJECUTADO</x:v>
      </x:c>
      <x:c r="O23" s="22" t="str">
        <x:f>IF(C23="SI",REPT("│  ",I23)&amp;IF(A23=1,"CEO ","└─ ")&amp;A23&amp;". "&amp;D23,"")</x:f>
        <x:v>│  │  │  └─ 18. Marina Duarte</x:v>
      </x:c>
    </x:row>
    <x:row r="24" ht="44" customHeight="1">
      <x:c r="A24" s="16" t="n">
        <x:v>19</x:v>
      </x:c>
      <x:c r="B24" s="16" t="str">
        <x:f>IF(C24="SI",'Perfiles'!B24,"")</x:f>
        <x:v>c4c6a704-6b59-5c0c-b8bc-53edb6d2f769</x:v>
      </x:c>
      <x:c r="C24" s="16" t="str">
        <x:f>IF('Configuracion'!$B$23&lt;&gt;"VALIDO","INVALIDO",IF(A24&lt;='Configuracion'!$B$8,"SI","NO"))</x:f>
        <x:v>SI</x:v>
      </x:c>
      <x:c r="D24" s="21" t="str">
        <x:f>IF(C24="SI",'Perfiles'!C24,"")</x:f>
        <x:v>Pablo Alarcón</x:v>
      </x:c>
      <x:c r="E24" s="21" t="str">
        <x:f>IF(C24="SI",'Perfiles'!D24,"")</x:f>
        <x:v>Investigación de sistemas y escenarios</x:v>
      </x:c>
      <x:c r="F24" s="21" t="str">
        <x:f>IF(C24="SI",'Perfiles'!E24,"")</x:f>
        <x:v>Investigación</x:v>
      </x:c>
      <x:c r="G24" s="21" t="n">
        <x:f>IF(C24="SI",INT((A24-2)/'Configuracion'!$B$9)+1,"")</x:f>
        <x:v>6</x:v>
      </x:c>
      <x:c r="H24" s="21" t="str">
        <x:f>IF(C24="SI",INDEX($B$6:$B$37,G24),"")</x:f>
        <x:v>04bb8901-fa3c-545a-878b-a3cf462e3a65</x:v>
      </x:c>
      <x:c r="I24" s="21" t="n">
        <x:f>IF(C24="SI",INDEX($I$6:I23,G24)+1,"")</x:f>
        <x:v>3</x:v>
      </x:c>
      <x:c r="J24" s="21" t="n">
        <x:f>IF(C24="SI",COUNTIFS($H$6:$H$37,B24,$C$6:$C$37,"SI"),"")</x:f>
        <x:v>0</x:v>
      </x:c>
      <x:c r="K24" s="21" t="str">
        <x:f>IF(C24="SI",'Asignacion_modelos'!D24,"")</x:f>
        <x:v>deepseek-official</x:v>
      </x:c>
      <x:c r="L24" s="21" t="str">
        <x:f>IF(C24="SI",'Asignacion_modelos'!E24,"")</x:f>
        <x:v>deepseek-flash</x:v>
      </x:c>
      <x:c r="M24" s="21" t="str">
        <x:f>IF(C24="SI",'Asignacion_modelos'!F24,"")</x:f>
        <x:v>UNVERIFIED</x:v>
      </x:c>
      <x:c r="N24" s="21" t="str">
        <x:f>IF(C24="SI",'Configuracion'!$B$24,"")</x:f>
        <x:v>DISEÑADO_NO_EJECUTADO</x:v>
      </x:c>
      <x:c r="O24" s="21" t="str">
        <x:f>IF(C24="SI",REPT("│  ",I24)&amp;IF(A24=1,"CEO ","└─ ")&amp;A24&amp;". "&amp;D24,"")</x:f>
        <x:v>│  │  │  └─ 19. Pablo Alarcón</x:v>
      </x:c>
    </x:row>
    <x:row r="25" ht="44" customHeight="1">
      <x:c r="A25" s="2" t="n">
        <x:v>20</x:v>
      </x:c>
      <x:c r="B25" s="2" t="str">
        <x:f>IF(C25="SI",'Perfiles'!B25,"")</x:f>
        <x:v>e389f32c-1b45-5781-b5f8-61f4c9fbfdd3</x:v>
      </x:c>
      <x:c r="C25" s="2" t="str">
        <x:f>IF('Configuracion'!$B$23&lt;&gt;"VALIDO","INVALIDO",IF(A25&lt;='Configuracion'!$B$8,"SI","NO"))</x:f>
        <x:v>SI</x:v>
      </x:c>
      <x:c r="D25" s="22" t="str">
        <x:f>IF(C25="SI",'Perfiles'!C25,"")</x:f>
        <x:v>Bruno Calderón</x:v>
      </x:c>
      <x:c r="E25" s="22" t="str">
        <x:f>IF(C25="SI",'Perfiles'!D25,"")</x:f>
        <x:v>Ingeniería de navegador y recorridos E2E</x:v>
      </x:c>
      <x:c r="F25" s="22" t="str">
        <x:f>IF(C25="SI",'Perfiles'!E25,"")</x:f>
        <x:v>Calidad</x:v>
      </x:c>
      <x:c r="G25" s="22" t="n">
        <x:f>IF(C25="SI",INT((A25-2)/'Configuracion'!$B$9)+1,"")</x:f>
        <x:v>7</x:v>
      </x:c>
      <x:c r="H25" s="22" t="str">
        <x:f>IF(C25="SI",INDEX($B$6:$B$37,G25),"")</x:f>
        <x:v>d28d2e1d-94c6-55cf-96e3-502260dadeb1</x:v>
      </x:c>
      <x:c r="I25" s="22" t="n">
        <x:f>IF(C25="SI",INDEX($I$6:I24,G25)+1,"")</x:f>
        <x:v>3</x:v>
      </x:c>
      <x:c r="J25" s="22" t="n">
        <x:f>IF(C25="SI",COUNTIFS($H$6:$H$37,B25,$C$6:$C$37,"SI"),"")</x:f>
        <x:v>0</x:v>
      </x:c>
      <x:c r="K25" s="22" t="str">
        <x:f>IF(C25="SI",'Asignacion_modelos'!D25,"")</x:f>
        <x:v>deepseek-official</x:v>
      </x:c>
      <x:c r="L25" s="22" t="str">
        <x:f>IF(C25="SI",'Asignacion_modelos'!E25,"")</x:f>
        <x:v>deepseek-flash</x:v>
      </x:c>
      <x:c r="M25" s="22" t="str">
        <x:f>IF(C25="SI",'Asignacion_modelos'!F25,"")</x:f>
        <x:v>UNVERIFIED</x:v>
      </x:c>
      <x:c r="N25" s="22" t="str">
        <x:f>IF(C25="SI",'Configuracion'!$B$24,"")</x:f>
        <x:v>DISEÑADO_NO_EJECUTADO</x:v>
      </x:c>
      <x:c r="O25" s="22" t="str">
        <x:f>IF(C25="SI",REPT("│  ",I25)&amp;IF(A25=1,"CEO ","└─ ")&amp;A25&amp;". "&amp;D25,"")</x:f>
        <x:v>│  │  │  └─ 20. Bruno Calderón</x:v>
      </x:c>
    </x:row>
    <x:row r="26" ht="44" customHeight="1">
      <x:c r="A26" s="16" t="n">
        <x:v>21</x:v>
      </x:c>
      <x:c r="B26" s="16" t="str">
        <x:f>IF(C26="SI",'Perfiles'!B26,"")</x:f>
        <x:v>b6e1a9d2-14dc-5a48-b2c8-c1c54966b009</x:v>
      </x:c>
      <x:c r="C26" s="16" t="str">
        <x:f>IF('Configuracion'!$B$23&lt;&gt;"VALIDO","INVALIDO",IF(A26&lt;='Configuracion'!$B$8,"SI","NO"))</x:f>
        <x:v>SI</x:v>
      </x:c>
      <x:c r="D26" s="21" t="str">
        <x:f>IF(C26="SI",'Perfiles'!C26,"")</x:f>
        <x:v>Natalia Sanz</x:v>
      </x:c>
      <x:c r="E26" s="21" t="str">
        <x:f>IF(C26="SI",'Perfiles'!D26,"")</x:f>
        <x:v>Ingeniería de paridad y compatibilidad</x:v>
      </x:c>
      <x:c r="F26" s="21" t="str">
        <x:f>IF(C26="SI",'Perfiles'!E26,"")</x:f>
        <x:v>Calidad</x:v>
      </x:c>
      <x:c r="G26" s="21" t="n">
        <x:f>IF(C26="SI",INT((A26-2)/'Configuracion'!$B$9)+1,"")</x:f>
        <x:v>7</x:v>
      </x:c>
      <x:c r="H26" s="21" t="str">
        <x:f>IF(C26="SI",INDEX($B$6:$B$37,G26),"")</x:f>
        <x:v>d28d2e1d-94c6-55cf-96e3-502260dadeb1</x:v>
      </x:c>
      <x:c r="I26" s="21" t="n">
        <x:f>IF(C26="SI",INDEX($I$6:I25,G26)+1,"")</x:f>
        <x:v>3</x:v>
      </x:c>
      <x:c r="J26" s="21" t="n">
        <x:f>IF(C26="SI",COUNTIFS($H$6:$H$37,B26,$C$6:$C$37,"SI"),"")</x:f>
        <x:v>0</x:v>
      </x:c>
      <x:c r="K26" s="21" t="str">
        <x:f>IF(C26="SI",'Asignacion_modelos'!D26,"")</x:f>
        <x:v>deepseek-official</x:v>
      </x:c>
      <x:c r="L26" s="21" t="str">
        <x:f>IF(C26="SI",'Asignacion_modelos'!E26,"")</x:f>
        <x:v>deepseek-flash</x:v>
      </x:c>
      <x:c r="M26" s="21" t="str">
        <x:f>IF(C26="SI",'Asignacion_modelos'!F26,"")</x:f>
        <x:v>UNVERIFIED</x:v>
      </x:c>
      <x:c r="N26" s="21" t="str">
        <x:f>IF(C26="SI",'Configuracion'!$B$24,"")</x:f>
        <x:v>DISEÑADO_NO_EJECUTADO</x:v>
      </x:c>
      <x:c r="O26" s="21" t="str">
        <x:f>IF(C26="SI",REPT("│  ",I26)&amp;IF(A26=1,"CEO ","└─ ")&amp;A26&amp;". "&amp;D26,"")</x:f>
        <x:v>│  │  │  └─ 21. Natalia Sanz</x:v>
      </x:c>
    </x:row>
    <x:row r="27" ht="44" customHeight="1">
      <x:c r="A27" s="2" t="n">
        <x:v>22</x:v>
      </x:c>
      <x:c r="B27" s="2" t="str">
        <x:f>IF(C27="SI",'Perfiles'!B27,"")</x:f>
        <x:v>d256860f-67f4-534a-a1e0-3db4e7d220d2</x:v>
      </x:c>
      <x:c r="C27" s="2" t="str">
        <x:f>IF('Configuracion'!$B$23&lt;&gt;"VALIDO","INVALIDO",IF(A27&lt;='Configuracion'!$B$8,"SI","NO"))</x:f>
        <x:v>SI</x:v>
      </x:c>
      <x:c r="D27" s="22" t="str">
        <x:f>IF(C27="SI",'Perfiles'!C27,"")</x:f>
        <x:v>Daniela Fuentes</x:v>
      </x:c>
      <x:c r="E27" s="22" t="str">
        <x:f>IF(C27="SI",'Perfiles'!D27,"")</x:f>
        <x:v>Ingeniería de agentes y evaluaciones</x:v>
      </x:c>
      <x:c r="F27" s="22" t="str">
        <x:f>IF(C27="SI",'Perfiles'!E27,"")</x:f>
        <x:v>Inteligencia aplicada</x:v>
      </x:c>
      <x:c r="G27" s="22" t="n">
        <x:f>IF(C27="SI",INT((A27-2)/'Configuracion'!$B$9)+1,"")</x:f>
        <x:v>7</x:v>
      </x:c>
      <x:c r="H27" s="22" t="str">
        <x:f>IF(C27="SI",INDEX($B$6:$B$37,G27),"")</x:f>
        <x:v>d28d2e1d-94c6-55cf-96e3-502260dadeb1</x:v>
      </x:c>
      <x:c r="I27" s="22" t="n">
        <x:f>IF(C27="SI",INDEX($I$6:I26,G27)+1,"")</x:f>
        <x:v>3</x:v>
      </x:c>
      <x:c r="J27" s="22" t="n">
        <x:f>IF(C27="SI",COUNTIFS($H$6:$H$37,B27,$C$6:$C$37,"SI"),"")</x:f>
        <x:v>0</x:v>
      </x:c>
      <x:c r="K27" s="22" t="str">
        <x:f>IF(C27="SI",'Asignacion_modelos'!D27,"")</x:f>
        <x:v>deepseek-official</x:v>
      </x:c>
      <x:c r="L27" s="22" t="str">
        <x:f>IF(C27="SI",'Asignacion_modelos'!E27,"")</x:f>
        <x:v>deepseek-flash</x:v>
      </x:c>
      <x:c r="M27" s="22" t="str">
        <x:f>IF(C27="SI",'Asignacion_modelos'!F27,"")</x:f>
        <x:v>UNVERIFIED</x:v>
      </x:c>
      <x:c r="N27" s="22" t="str">
        <x:f>IF(C27="SI",'Configuracion'!$B$24,"")</x:f>
        <x:v>DISEÑADO_NO_EJECUTADO</x:v>
      </x:c>
      <x:c r="O27" s="22" t="str">
        <x:f>IF(C27="SI",REPT("│  ",I27)&amp;IF(A27=1,"CEO ","└─ ")&amp;A27&amp;". "&amp;D27,"")</x:f>
        <x:v>│  │  │  └─ 22. Daniela Fuentes</x:v>
      </x:c>
    </x:row>
    <x:row r="28" ht="44" customHeight="1">
      <x:c r="A28" s="16" t="n">
        <x:v>23</x:v>
      </x:c>
      <x:c r="B28" s="16" t="str">
        <x:f>IF(C28="SI",'Perfiles'!B28,"")</x:f>
        <x:v>d59b0906-7517-59bb-a0d2-0c0fb8215ba2</x:v>
      </x:c>
      <x:c r="C28" s="16" t="str">
        <x:f>IF('Configuracion'!$B$23&lt;&gt;"VALIDO","INVALIDO",IF(A28&lt;='Configuracion'!$B$8,"SI","NO"))</x:f>
        <x:v>SI</x:v>
      </x:c>
      <x:c r="D28" s="21" t="str">
        <x:f>IF(C28="SI",'Perfiles'!C28,"")</x:f>
        <x:v>Julián Escobar</x:v>
      </x:c>
      <x:c r="E28" s="21" t="str">
        <x:f>IF(C28="SI",'Perfiles'!D28,"")</x:f>
        <x:v>Ingeniería de especificación y trazabilidad</x:v>
      </x:c>
      <x:c r="F28" s="21" t="str">
        <x:f>IF(C28="SI",'Perfiles'!E28,"")</x:f>
        <x:v>Producto</x:v>
      </x:c>
      <x:c r="G28" s="21" t="n">
        <x:f>IF(C28="SI",INT((A28-2)/'Configuracion'!$B$9)+1,"")</x:f>
        <x:v>8</x:v>
      </x:c>
      <x:c r="H28" s="21" t="str">
        <x:f>IF(C28="SI",INDEX($B$6:$B$37,G28),"")</x:f>
        <x:v>8453288b-95e1-456f-8bf5-07f2567c2e90</x:v>
      </x:c>
      <x:c r="I28" s="21" t="n">
        <x:f>IF(C28="SI",INDEX($I$6:I27,G28)+1,"")</x:f>
        <x:v>3</x:v>
      </x:c>
      <x:c r="J28" s="21" t="n">
        <x:f>IF(C28="SI",COUNTIFS($H$6:$H$37,B28,$C$6:$C$37,"SI"),"")</x:f>
        <x:v>0</x:v>
      </x:c>
      <x:c r="K28" s="21" t="str">
        <x:f>IF(C28="SI",'Asignacion_modelos'!D28,"")</x:f>
        <x:v>deepseek-official</x:v>
      </x:c>
      <x:c r="L28" s="21" t="str">
        <x:f>IF(C28="SI",'Asignacion_modelos'!E28,"")</x:f>
        <x:v>deepseek-flash</x:v>
      </x:c>
      <x:c r="M28" s="21" t="str">
        <x:f>IF(C28="SI",'Asignacion_modelos'!F28,"")</x:f>
        <x:v>UNVERIFIED</x:v>
      </x:c>
      <x:c r="N28" s="21" t="str">
        <x:f>IF(C28="SI",'Configuracion'!$B$24,"")</x:f>
        <x:v>DISEÑADO_NO_EJECUTADO</x:v>
      </x:c>
      <x:c r="O28" s="21" t="str">
        <x:f>IF(C28="SI",REPT("│  ",I28)&amp;IF(A28=1,"CEO ","└─ ")&amp;A28&amp;". "&amp;D28,"")</x:f>
        <x:v>│  │  │  └─ 23. Julián Escobar</x:v>
      </x:c>
    </x:row>
    <x:row r="29" ht="44" customHeight="1">
      <x:c r="A29" s="2" t="n">
        <x:v>24</x:v>
      </x:c>
      <x:c r="B29" s="2" t="str">
        <x:f>IF(C29="SI",'Perfiles'!B29,"")</x:f>
        <x:v>ff0d8395-2a3a-5d1d-9185-63c3aa3c19e7</x:v>
      </x:c>
      <x:c r="C29" s="2" t="str">
        <x:f>IF('Configuracion'!$B$23&lt;&gt;"VALIDO","INVALIDO",IF(A29&lt;='Configuracion'!$B$8,"SI","NO"))</x:f>
        <x:v>SI</x:v>
      </x:c>
      <x:c r="D29" s="22" t="str">
        <x:f>IF(C29="SI",'Perfiles'!C29,"")</x:f>
        <x:v>Camila Navarro</x:v>
      </x:c>
      <x:c r="E29" s="22" t="str">
        <x:f>IF(C29="SI",'Perfiles'!D29,"")</x:f>
        <x:v>Ingeniería de rendimiento y capacidad</x:v>
      </x:c>
      <x:c r="F29" s="22" t="str">
        <x:f>IF(C29="SI",'Perfiles'!E29,"")</x:f>
        <x:v>Plataforma</x:v>
      </x:c>
      <x:c r="G29" s="22" t="n">
        <x:f>IF(C29="SI",INT((A29-2)/'Configuracion'!$B$9)+1,"")</x:f>
        <x:v>8</x:v>
      </x:c>
      <x:c r="H29" s="22" t="str">
        <x:f>IF(C29="SI",INDEX($B$6:$B$37,G29),"")</x:f>
        <x:v>8453288b-95e1-456f-8bf5-07f2567c2e90</x:v>
      </x:c>
      <x:c r="I29" s="22" t="n">
        <x:f>IF(C29="SI",INDEX($I$6:I28,G29)+1,"")</x:f>
        <x:v>3</x:v>
      </x:c>
      <x:c r="J29" s="22" t="n">
        <x:f>IF(C29="SI",COUNTIFS($H$6:$H$37,B29,$C$6:$C$37,"SI"),"")</x:f>
        <x:v>0</x:v>
      </x:c>
      <x:c r="K29" s="22" t="str">
        <x:f>IF(C29="SI",'Asignacion_modelos'!D29,"")</x:f>
        <x:v>deepseek-official</x:v>
      </x:c>
      <x:c r="L29" s="22" t="str">
        <x:f>IF(C29="SI",'Asignacion_modelos'!E29,"")</x:f>
        <x:v>deepseek-flash</x:v>
      </x:c>
      <x:c r="M29" s="22" t="str">
        <x:f>IF(C29="SI",'Asignacion_modelos'!F29,"")</x:f>
        <x:v>UNVERIFIED</x:v>
      </x:c>
      <x:c r="N29" s="22" t="str">
        <x:f>IF(C29="SI",'Configuracion'!$B$24,"")</x:f>
        <x:v>DISEÑADO_NO_EJECUTADO</x:v>
      </x:c>
      <x:c r="O29" s="22" t="str">
        <x:f>IF(C29="SI",REPT("│  ",I29)&amp;IF(A29=1,"CEO ","└─ ")&amp;A29&amp;". "&amp;D29,"")</x:f>
        <x:v>│  │  │  └─ 24. Camila Navarro</x:v>
      </x:c>
    </x:row>
    <x:row r="30" ht="44" customHeight="1">
      <x:c r="A30" s="16" t="n">
        <x:v>25</x:v>
      </x:c>
      <x:c r="B30" s="16" t="str">
        <x:f>IF(C30="SI",'Perfiles'!B30,"")</x:f>
      </x:c>
      <x:c r="C30" s="16" t="str">
        <x:f>IF('Configuracion'!$B$23&lt;&gt;"VALIDO","INVALIDO",IF(A30&lt;='Configuracion'!$B$8,"SI","NO"))</x:f>
        <x:v>NO</x:v>
      </x:c>
      <x:c r="D30" s="21" t="str">
        <x:f>IF(C30="SI",'Perfiles'!C30,"")</x:f>
      </x:c>
      <x:c r="E30" s="21" t="str">
        <x:f>IF(C30="SI",'Perfiles'!D30,"")</x:f>
      </x:c>
      <x:c r="F30" s="21" t="str">
        <x:f>IF(C30="SI",'Perfiles'!E30,"")</x:f>
      </x:c>
      <x:c r="G30" s="21" t="str">
        <x:f>IF(C30="SI",INT((A30-2)/'Configuracion'!$B$9)+1,"")</x:f>
      </x:c>
      <x:c r="H30" s="21" t="str">
        <x:f>IF(C30="SI",INDEX($B$6:$B$37,G30),"")</x:f>
      </x:c>
      <x:c r="I30" s="21" t="str">
        <x:f>IF(C30="SI",INDEX($I$6:I29,G30)+1,"")</x:f>
      </x:c>
      <x:c r="J30" s="21" t="str">
        <x:f>IF(C30="SI",COUNTIFS($H$6:$H$37,B30,$C$6:$C$37,"SI"),"")</x:f>
      </x:c>
      <x:c r="K30" s="21" t="str">
        <x:f>IF(C30="SI",'Asignacion_modelos'!D30,"")</x:f>
      </x:c>
      <x:c r="L30" s="21" t="str">
        <x:f>IF(C30="SI",'Asignacion_modelos'!E30,"")</x:f>
      </x:c>
      <x:c r="M30" s="21" t="str">
        <x:f>IF(C30="SI",'Asignacion_modelos'!F30,"")</x:f>
      </x:c>
      <x:c r="N30" s="21" t="str">
        <x:f>IF(C30="SI",'Configuracion'!$B$24,"")</x:f>
      </x:c>
      <x:c r="O30" s="21" t="str">
        <x:f>IF(C30="SI",REPT("│  ",I30)&amp;IF(A30=1,"CEO ","└─ ")&amp;A30&amp;". "&amp;D30,"")</x:f>
      </x:c>
    </x:row>
    <x:row r="31" ht="44" customHeight="1">
      <x:c r="A31" s="2" t="n">
        <x:v>26</x:v>
      </x:c>
      <x:c r="B31" s="2" t="str">
        <x:f>IF(C31="SI",'Perfiles'!B31,"")</x:f>
      </x:c>
      <x:c r="C31" s="2" t="str">
        <x:f>IF('Configuracion'!$B$23&lt;&gt;"VALIDO","INVALIDO",IF(A31&lt;='Configuracion'!$B$8,"SI","NO"))</x:f>
        <x:v>NO</x:v>
      </x:c>
      <x:c r="D31" s="22" t="str">
        <x:f>IF(C31="SI",'Perfiles'!C31,"")</x:f>
      </x:c>
      <x:c r="E31" s="22" t="str">
        <x:f>IF(C31="SI",'Perfiles'!D31,"")</x:f>
      </x:c>
      <x:c r="F31" s="22" t="str">
        <x:f>IF(C31="SI",'Perfiles'!E31,"")</x:f>
      </x:c>
      <x:c r="G31" s="22" t="str">
        <x:f>IF(C31="SI",INT((A31-2)/'Configuracion'!$B$9)+1,"")</x:f>
      </x:c>
      <x:c r="H31" s="22" t="str">
        <x:f>IF(C31="SI",INDEX($B$6:$B$37,G31),"")</x:f>
      </x:c>
      <x:c r="I31" s="22" t="str">
        <x:f>IF(C31="SI",INDEX($I$6:I30,G31)+1,"")</x:f>
      </x:c>
      <x:c r="J31" s="22" t="str">
        <x:f>IF(C31="SI",COUNTIFS($H$6:$H$37,B31,$C$6:$C$37,"SI"),"")</x:f>
      </x:c>
      <x:c r="K31" s="22" t="str">
        <x:f>IF(C31="SI",'Asignacion_modelos'!D31,"")</x:f>
      </x:c>
      <x:c r="L31" s="22" t="str">
        <x:f>IF(C31="SI",'Asignacion_modelos'!E31,"")</x:f>
      </x:c>
      <x:c r="M31" s="22" t="str">
        <x:f>IF(C31="SI",'Asignacion_modelos'!F31,"")</x:f>
      </x:c>
      <x:c r="N31" s="22" t="str">
        <x:f>IF(C31="SI",'Configuracion'!$B$24,"")</x:f>
      </x:c>
      <x:c r="O31" s="22" t="str">
        <x:f>IF(C31="SI",REPT("│  ",I31)&amp;IF(A31=1,"CEO ","└─ ")&amp;A31&amp;". "&amp;D31,"")</x:f>
      </x:c>
    </x:row>
    <x:row r="32" ht="44" customHeight="1">
      <x:c r="A32" s="16" t="n">
        <x:v>27</x:v>
      </x:c>
      <x:c r="B32" s="16" t="str">
        <x:f>IF(C32="SI",'Perfiles'!B32,"")</x:f>
      </x:c>
      <x:c r="C32" s="16" t="str">
        <x:f>IF('Configuracion'!$B$23&lt;&gt;"VALIDO","INVALIDO",IF(A32&lt;='Configuracion'!$B$8,"SI","NO"))</x:f>
        <x:v>NO</x:v>
      </x:c>
      <x:c r="D32" s="21" t="str">
        <x:f>IF(C32="SI",'Perfiles'!C32,"")</x:f>
      </x:c>
      <x:c r="E32" s="21" t="str">
        <x:f>IF(C32="SI",'Perfiles'!D32,"")</x:f>
      </x:c>
      <x:c r="F32" s="21" t="str">
        <x:f>IF(C32="SI",'Perfiles'!E32,"")</x:f>
      </x:c>
      <x:c r="G32" s="21" t="str">
        <x:f>IF(C32="SI",INT((A32-2)/'Configuracion'!$B$9)+1,"")</x:f>
      </x:c>
      <x:c r="H32" s="21" t="str">
        <x:f>IF(C32="SI",INDEX($B$6:$B$37,G32),"")</x:f>
      </x:c>
      <x:c r="I32" s="21" t="str">
        <x:f>IF(C32="SI",INDEX($I$6:I31,G32)+1,"")</x:f>
      </x:c>
      <x:c r="J32" s="21" t="str">
        <x:f>IF(C32="SI",COUNTIFS($H$6:$H$37,B32,$C$6:$C$37,"SI"),"")</x:f>
      </x:c>
      <x:c r="K32" s="21" t="str">
        <x:f>IF(C32="SI",'Asignacion_modelos'!D32,"")</x:f>
      </x:c>
      <x:c r="L32" s="21" t="str">
        <x:f>IF(C32="SI",'Asignacion_modelos'!E32,"")</x:f>
      </x:c>
      <x:c r="M32" s="21" t="str">
        <x:f>IF(C32="SI",'Asignacion_modelos'!F32,"")</x:f>
      </x:c>
      <x:c r="N32" s="21" t="str">
        <x:f>IF(C32="SI",'Configuracion'!$B$24,"")</x:f>
      </x:c>
      <x:c r="O32" s="21" t="str">
        <x:f>IF(C32="SI",REPT("│  ",I32)&amp;IF(A32=1,"CEO ","└─ ")&amp;A32&amp;". "&amp;D32,"")</x:f>
      </x:c>
    </x:row>
    <x:row r="33" ht="44" customHeight="1">
      <x:c r="A33" s="2" t="n">
        <x:v>28</x:v>
      </x:c>
      <x:c r="B33" s="2" t="str">
        <x:f>IF(C33="SI",'Perfiles'!B33,"")</x:f>
      </x:c>
      <x:c r="C33" s="2" t="str">
        <x:f>IF('Configuracion'!$B$23&lt;&gt;"VALIDO","INVALIDO",IF(A33&lt;='Configuracion'!$B$8,"SI","NO"))</x:f>
        <x:v>NO</x:v>
      </x:c>
      <x:c r="D33" s="22" t="str">
        <x:f>IF(C33="SI",'Perfiles'!C33,"")</x:f>
      </x:c>
      <x:c r="E33" s="22" t="str">
        <x:f>IF(C33="SI",'Perfiles'!D33,"")</x:f>
      </x:c>
      <x:c r="F33" s="22" t="str">
        <x:f>IF(C33="SI",'Perfiles'!E33,"")</x:f>
      </x:c>
      <x:c r="G33" s="22" t="str">
        <x:f>IF(C33="SI",INT((A33-2)/'Configuracion'!$B$9)+1,"")</x:f>
      </x:c>
      <x:c r="H33" s="22" t="str">
        <x:f>IF(C33="SI",INDEX($B$6:$B$37,G33),"")</x:f>
      </x:c>
      <x:c r="I33" s="22" t="str">
        <x:f>IF(C33="SI",INDEX($I$6:I32,G33)+1,"")</x:f>
      </x:c>
      <x:c r="J33" s="22" t="str">
        <x:f>IF(C33="SI",COUNTIFS($H$6:$H$37,B33,$C$6:$C$37,"SI"),"")</x:f>
      </x:c>
      <x:c r="K33" s="22" t="str">
        <x:f>IF(C33="SI",'Asignacion_modelos'!D33,"")</x:f>
      </x:c>
      <x:c r="L33" s="22" t="str">
        <x:f>IF(C33="SI",'Asignacion_modelos'!E33,"")</x:f>
      </x:c>
      <x:c r="M33" s="22" t="str">
        <x:f>IF(C33="SI",'Asignacion_modelos'!F33,"")</x:f>
      </x:c>
      <x:c r="N33" s="22" t="str">
        <x:f>IF(C33="SI",'Configuracion'!$B$24,"")</x:f>
      </x:c>
      <x:c r="O33" s="22" t="str">
        <x:f>IF(C33="SI",REPT("│  ",I33)&amp;IF(A33=1,"CEO ","└─ ")&amp;A33&amp;". "&amp;D33,"")</x:f>
      </x:c>
    </x:row>
    <x:row r="34" ht="44" customHeight="1">
      <x:c r="A34" s="16" t="n">
        <x:v>29</x:v>
      </x:c>
      <x:c r="B34" s="16" t="str">
        <x:f>IF(C34="SI",'Perfiles'!B34,"")</x:f>
      </x:c>
      <x:c r="C34" s="16" t="str">
        <x:f>IF('Configuracion'!$B$23&lt;&gt;"VALIDO","INVALIDO",IF(A34&lt;='Configuracion'!$B$8,"SI","NO"))</x:f>
        <x:v>NO</x:v>
      </x:c>
      <x:c r="D34" s="21" t="str">
        <x:f>IF(C34="SI",'Perfiles'!C34,"")</x:f>
      </x:c>
      <x:c r="E34" s="21" t="str">
        <x:f>IF(C34="SI",'Perfiles'!D34,"")</x:f>
      </x:c>
      <x:c r="F34" s="21" t="str">
        <x:f>IF(C34="SI",'Perfiles'!E34,"")</x:f>
      </x:c>
      <x:c r="G34" s="21" t="str">
        <x:f>IF(C34="SI",INT((A34-2)/'Configuracion'!$B$9)+1,"")</x:f>
      </x:c>
      <x:c r="H34" s="21" t="str">
        <x:f>IF(C34="SI",INDEX($B$6:$B$37,G34),"")</x:f>
      </x:c>
      <x:c r="I34" s="21" t="str">
        <x:f>IF(C34="SI",INDEX($I$6:I33,G34)+1,"")</x:f>
      </x:c>
      <x:c r="J34" s="21" t="str">
        <x:f>IF(C34="SI",COUNTIFS($H$6:$H$37,B34,$C$6:$C$37,"SI"),"")</x:f>
      </x:c>
      <x:c r="K34" s="21" t="str">
        <x:f>IF(C34="SI",'Asignacion_modelos'!D34,"")</x:f>
      </x:c>
      <x:c r="L34" s="21" t="str">
        <x:f>IF(C34="SI",'Asignacion_modelos'!E34,"")</x:f>
      </x:c>
      <x:c r="M34" s="21" t="str">
        <x:f>IF(C34="SI",'Asignacion_modelos'!F34,"")</x:f>
      </x:c>
      <x:c r="N34" s="21" t="str">
        <x:f>IF(C34="SI",'Configuracion'!$B$24,"")</x:f>
      </x:c>
      <x:c r="O34" s="21" t="str">
        <x:f>IF(C34="SI",REPT("│  ",I34)&amp;IF(A34=1,"CEO ","└─ ")&amp;A34&amp;". "&amp;D34,"")</x:f>
      </x:c>
    </x:row>
    <x:row r="35" ht="44" customHeight="1">
      <x:c r="A35" s="2" t="n">
        <x:v>30</x:v>
      </x:c>
      <x:c r="B35" s="2" t="str">
        <x:f>IF(C35="SI",'Perfiles'!B35,"")</x:f>
      </x:c>
      <x:c r="C35" s="2" t="str">
        <x:f>IF('Configuracion'!$B$23&lt;&gt;"VALIDO","INVALIDO",IF(A35&lt;='Configuracion'!$B$8,"SI","NO"))</x:f>
        <x:v>NO</x:v>
      </x:c>
      <x:c r="D35" s="22" t="str">
        <x:f>IF(C35="SI",'Perfiles'!C35,"")</x:f>
      </x:c>
      <x:c r="E35" s="22" t="str">
        <x:f>IF(C35="SI",'Perfiles'!D35,"")</x:f>
      </x:c>
      <x:c r="F35" s="22" t="str">
        <x:f>IF(C35="SI",'Perfiles'!E35,"")</x:f>
      </x:c>
      <x:c r="G35" s="22" t="str">
        <x:f>IF(C35="SI",INT((A35-2)/'Configuracion'!$B$9)+1,"")</x:f>
      </x:c>
      <x:c r="H35" s="22" t="str">
        <x:f>IF(C35="SI",INDEX($B$6:$B$37,G35),"")</x:f>
      </x:c>
      <x:c r="I35" s="22" t="str">
        <x:f>IF(C35="SI",INDEX($I$6:I34,G35)+1,"")</x:f>
      </x:c>
      <x:c r="J35" s="22" t="str">
        <x:f>IF(C35="SI",COUNTIFS($H$6:$H$37,B35,$C$6:$C$37,"SI"),"")</x:f>
      </x:c>
      <x:c r="K35" s="22" t="str">
        <x:f>IF(C35="SI",'Asignacion_modelos'!D35,"")</x:f>
      </x:c>
      <x:c r="L35" s="22" t="str">
        <x:f>IF(C35="SI",'Asignacion_modelos'!E35,"")</x:f>
      </x:c>
      <x:c r="M35" s="22" t="str">
        <x:f>IF(C35="SI",'Asignacion_modelos'!F35,"")</x:f>
      </x:c>
      <x:c r="N35" s="22" t="str">
        <x:f>IF(C35="SI",'Configuracion'!$B$24,"")</x:f>
      </x:c>
      <x:c r="O35" s="22" t="str">
        <x:f>IF(C35="SI",REPT("│  ",I35)&amp;IF(A35=1,"CEO ","└─ ")&amp;A35&amp;". "&amp;D35,"")</x:f>
      </x:c>
    </x:row>
    <x:row r="36" ht="44" customHeight="1">
      <x:c r="A36" s="16" t="n">
        <x:v>31</x:v>
      </x:c>
      <x:c r="B36" s="16" t="str">
        <x:f>IF(C36="SI",'Perfiles'!B36,"")</x:f>
      </x:c>
      <x:c r="C36" s="16" t="str">
        <x:f>IF('Configuracion'!$B$23&lt;&gt;"VALIDO","INVALIDO",IF(A36&lt;='Configuracion'!$B$8,"SI","NO"))</x:f>
        <x:v>NO</x:v>
      </x:c>
      <x:c r="D36" s="21" t="str">
        <x:f>IF(C36="SI",'Perfiles'!C36,"")</x:f>
      </x:c>
      <x:c r="E36" s="21" t="str">
        <x:f>IF(C36="SI",'Perfiles'!D36,"")</x:f>
      </x:c>
      <x:c r="F36" s="21" t="str">
        <x:f>IF(C36="SI",'Perfiles'!E36,"")</x:f>
      </x:c>
      <x:c r="G36" s="21" t="str">
        <x:f>IF(C36="SI",INT((A36-2)/'Configuracion'!$B$9)+1,"")</x:f>
      </x:c>
      <x:c r="H36" s="21" t="str">
        <x:f>IF(C36="SI",INDEX($B$6:$B$37,G36),"")</x:f>
      </x:c>
      <x:c r="I36" s="21" t="str">
        <x:f>IF(C36="SI",INDEX($I$6:I35,G36)+1,"")</x:f>
      </x:c>
      <x:c r="J36" s="21" t="str">
        <x:f>IF(C36="SI",COUNTIFS($H$6:$H$37,B36,$C$6:$C$37,"SI"),"")</x:f>
      </x:c>
      <x:c r="K36" s="21" t="str">
        <x:f>IF(C36="SI",'Asignacion_modelos'!D36,"")</x:f>
      </x:c>
      <x:c r="L36" s="21" t="str">
        <x:f>IF(C36="SI",'Asignacion_modelos'!E36,"")</x:f>
      </x:c>
      <x:c r="M36" s="21" t="str">
        <x:f>IF(C36="SI",'Asignacion_modelos'!F36,"")</x:f>
      </x:c>
      <x:c r="N36" s="21" t="str">
        <x:f>IF(C36="SI",'Configuracion'!$B$24,"")</x:f>
      </x:c>
      <x:c r="O36" s="21" t="str">
        <x:f>IF(C36="SI",REPT("│  ",I36)&amp;IF(A36=1,"CEO ","└─ ")&amp;A36&amp;". "&amp;D36,"")</x:f>
      </x:c>
    </x:row>
    <x:row r="37" ht="44" customHeight="1">
      <x:c r="A37" s="2" t="n">
        <x:v>32</x:v>
      </x:c>
      <x:c r="B37" s="2" t="str">
        <x:f>IF(C37="SI",'Perfiles'!B37,"")</x:f>
      </x:c>
      <x:c r="C37" s="2" t="str">
        <x:f>IF('Configuracion'!$B$23&lt;&gt;"VALIDO","INVALIDO",IF(A37&lt;='Configuracion'!$B$8,"SI","NO"))</x:f>
        <x:v>NO</x:v>
      </x:c>
      <x:c r="D37" s="22" t="str">
        <x:f>IF(C37="SI",'Perfiles'!C37,"")</x:f>
      </x:c>
      <x:c r="E37" s="22" t="str">
        <x:f>IF(C37="SI",'Perfiles'!D37,"")</x:f>
      </x:c>
      <x:c r="F37" s="22" t="str">
        <x:f>IF(C37="SI",'Perfiles'!E37,"")</x:f>
      </x:c>
      <x:c r="G37" s="22" t="str">
        <x:f>IF(C37="SI",INT((A37-2)/'Configuracion'!$B$9)+1,"")</x:f>
      </x:c>
      <x:c r="H37" s="22" t="str">
        <x:f>IF(C37="SI",INDEX($B$6:$B$37,G37),"")</x:f>
      </x:c>
      <x:c r="I37" s="22" t="str">
        <x:f>IF(C37="SI",INDEX($I$6:I36,G37)+1,"")</x:f>
      </x:c>
      <x:c r="J37" s="22" t="str">
        <x:f>IF(C37="SI",COUNTIFS($H$6:$H$37,B37,$C$6:$C$37,"SI"),"")</x:f>
      </x:c>
      <x:c r="K37" s="22" t="str">
        <x:f>IF(C37="SI",'Asignacion_modelos'!D37,"")</x:f>
      </x:c>
      <x:c r="L37" s="22" t="str">
        <x:f>IF(C37="SI",'Asignacion_modelos'!E37,"")</x:f>
      </x:c>
      <x:c r="M37" s="22" t="str">
        <x:f>IF(C37="SI",'Asignacion_modelos'!F37,"")</x:f>
      </x:c>
      <x:c r="N37" s="22" t="str">
        <x:f>IF(C37="SI",'Configuracion'!$B$24,"")</x:f>
      </x:c>
      <x:c r="O37" s="22" t="str">
        <x:f>IF(C37="SI",REPT("│  ",I37)&amp;IF(A37=1,"CEO ","└─ ")&amp;A37&amp;". "&amp;D37,"")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40" hidden="0" customWidth="1"/>
    <x:col min="3" max="3" width="24" hidden="0" customWidth="1"/>
    <x:col min="4" max="4" width="40" hidden="0" customWidth="1"/>
    <x:col min="5" max="5" width="24" hidden="0" customWidth="1"/>
    <x:col min="6" max="6" width="70" hidden="0" customWidth="1"/>
    <x:col min="7" max="7" width="72" hidden="0" customWidth="1"/>
    <x:col min="8" max="8" width="72" hidden="0" customWidth="1"/>
    <x:col min="9" max="9" width="65" hidden="0" customWidth="1"/>
    <x:col min="10" max="10" width="31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Perfiles y mandatos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5" customHeight="1">
      <x:c r="A4" s="25" t="str">
        <x:v>Perfiles aspiracionales de diseño. No se atribuyen experiencia laboral, títulos ni certificaciones reales.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13" t="str">
        <x:v>Slot</x:v>
      </x:c>
      <x:c r="B5" s="14" t="str">
        <x:v>ID estable</x:v>
      </x:c>
      <x:c r="C5" s="14" t="str">
        <x:v>Nombre ficticio</x:v>
      </x:c>
      <x:c r="D5" s="14" t="str">
        <x:v>Cargo</x:v>
      </x:c>
      <x:c r="E5" s="14" t="str">
        <x:v>Área</x:v>
      </x:c>
      <x:c r="F5" s="14" t="str">
        <x:v>Misión</x:v>
      </x:c>
      <x:c r="G5" s="14" t="str">
        <x:v>Responsabilidades</x:v>
      </x:c>
      <x:c r="H5" s="14" t="str">
        <x:v>Entregables</x:v>
      </x:c>
      <x:c r="I5" s="14" t="str">
        <x:v>Recorridos</x:v>
      </x:c>
      <x:c r="J5" s="15" t="str">
        <x:v>Evidencia</x:v>
      </x:c>
    </x:row>
    <x:row r="6" ht="156" customHeight="1">
      <x:c r="A6" s="16" t="n">
        <x:v>1</x:v>
      </x:c>
      <x:c r="B6" s="16" t="str">
        <x:v>bb4f7927-7d2f-4ff7-a467-dc999ac59c2a</x:v>
      </x:c>
      <x:c r="C6" s="16" t="str">
        <x:v>Elena Valdés</x:v>
      </x:c>
      <x:c r="D6" s="26" t="str">
        <x:v>CEO · Dirección de entrega</x:v>
      </x:c>
      <x:c r="E6" s="26" t="str">
        <x:v>Dirección</x:v>
      </x:c>
      <x:c r="F6" s="26" t="str">
        <x:v>Elena Valdés es la identidad narrativa ficticia del rol CEO · Dirección de entrega. Perfil objetivo: Transformar objetivos del Owner en un plan comprobable, una organización sostenible y decisiones trazables. No hay historial profesional real atribuido.</x:v>
      </x:c>
      <x:c r="G6" s="26" t="str">
        <x:v>Transformar objetivos del Owner en un plan comprobable, una organización sostenible y decisiones trazables.
Convertir cada solicitud de dirección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
Supervisar 3 reportes directos, dividir trabajo, revisar evidencia y escalar riesgos sin sobrepasar span=3.</x:v>
      </x:c>
      <x:c r="H6" s="26" t="str">
        <x:v>Mandato con alcance, presupuesto, exclusiones y criterios de aceptación
DAG de tareas con dueño, entradas, dependencias y gates
Acta de decisión con alternativas, disensos y limitaciones</x:v>
      </x:c>
      <x:c r="I6" s="26" t="str">
        <x:v>Preflight y mandato: Mandato concreto y capacidades comprobadas antes de efectos.
Entrega de dirección: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6" s="26" t="str">
        <x:v>DISEÑADO_NO_EJECUTADO</x:v>
      </x:c>
    </x:row>
    <x:row r="7" ht="156" customHeight="1">
      <x:c r="A7" s="2" t="n">
        <x:v>2</x:v>
      </x:c>
      <x:c r="B7" s="2" t="str">
        <x:v>2e4033f6-9f72-5c6b-9180-6e9aa1efcf9f</x:v>
      </x:c>
      <x:c r="C7" s="2" t="str">
        <x:v>Gabriel Montes</x:v>
      </x:c>
      <x:c r="D7" s="23" t="str">
        <x:v>CTO · Dirección de ingeniería y arquitectura</x:v>
      </x:c>
      <x:c r="E7" s="23" t="str">
        <x:v>Arquitectura</x:v>
      </x:c>
      <x:c r="F7" s="23" t="str">
        <x:v>Gabriel Montes es la identidad narrativa ficticia del rol CTO · Dirección de ingeniería y arquitectura. Perfil objetivo: Diseñar fronteras, estados e invariantes que conserven significado desde requisitos hasta operación. No hay historial profesional real atribuido.</x:v>
      </x:c>
      <x:c r="G7" s="23" t="str">
        <x:v>Diseñar fronteras, estados e invariantes que conserven significado desde requisitos hasta operación.
Convertir cada solicitud de arquitectura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
Supervisar 3 reportes directos, dividir trabajo, revisar evidencia y escalar riesgos sin sobrepasar span=3.</x:v>
      </x:c>
      <x:c r="H7" s="23" t="str">
        <x:v>ADR con alternativas y consecuencias
Diagramas de estados, contratos e invariantes
Plan de migración compatible y rollback verificable</x:v>
      </x:c>
      <x:c r="I7" s="23" t="str">
        <x:v>Preflight y mandato: Mandato concreto y capacidades comprobadas antes de efectos.
Entrega de arquitectura: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7" s="23" t="str">
        <x:v>DISEÑADO_NO_EJECUTADO</x:v>
      </x:c>
    </x:row>
    <x:row r="8" ht="156" customHeight="1">
      <x:c r="A8" s="16" t="n">
        <x:v>3</x:v>
      </x:c>
      <x:c r="B8" s="16" t="str">
        <x:v>d37e22a3-3427-53f5-a11b-2f741d9ee58a</x:v>
      </x:c>
      <x:c r="C8" s="16" t="str">
        <x:v>Santiago Vidal</x:v>
      </x:c>
      <x:c r="D8" s="26" t="str">
        <x:v>Dirección de aseguramiento y calidad</x:v>
      </x:c>
      <x:c r="E8" s="26" t="str">
        <x:v>Aseguramiento</x:v>
      </x:c>
      <x:c r="F8" s="26" t="str">
        <x:v>Santiago Vidal es la identidad narrativa ficticia del rol Dirección de aseguramiento y calidad. Perfil objetivo: Traducir requisitos en cobertura de pruebas y demostrar que los recorridos importantes cumplen su contrato. No hay historial profesional real atribuido.</x:v>
      </x:c>
      <x:c r="G8" s="26" t="str">
        <x:v>Traducir requisitos en cobertura de pruebas y demostrar que los recorridos importantes cumplen su contrato.
Convertir cada solicitud de aseguramiento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
Supervisar 3 reportes directos, dividir trabajo, revisar evidencia y escalar riesgos sin sobrepasar span=3.</x:v>
      </x:c>
      <x:c r="H8" s="26" t="str">
        <x:v>Matriz requisito → caso → ejecución → evidencia
Suite reproducible con fixtures y entorno fijados
Informe por caso con PASS, FAIL, BLOCKED y no ejecutado</x:v>
      </x:c>
      <x:c r="I8" s="26" t="str">
        <x:v>Preflight y mandato: Mandato concreto y capacidades comprobadas antes de efectos.
Entrega de aseguramiento: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8" s="26" t="str">
        <x:v>DISEÑADO_NO_EJECUTADO</x:v>
      </x:c>
    </x:row>
    <x:row r="9" ht="156" customHeight="1">
      <x:c r="A9" s="2" t="n">
        <x:v>4</x:v>
      </x:c>
      <x:c r="B9" s="2" t="str">
        <x:v>039fa8c8-ba62-5929-837c-dd6480445976</x:v>
      </x:c>
      <x:c r="C9" s="2" t="str">
        <x:v>Alba Prieto</x:v>
      </x:c>
      <x:c r="D9" s="23" t="str">
        <x:v>Dirección de operaciones y mandatos</x:v>
      </x:c>
      <x:c r="E9" s="23" t="str">
        <x:v>Operaciones</x:v>
      </x:c>
      <x:c r="F9" s="23" t="str">
        <x:v>Alba Prieto es la identidad narrativa ficticia del rol Dirección de operaciones y mandatos. Perfil objetivo: Convertir solicitudes del propietario en mandatos inequívocos y detectar decisiones que requieren su aprobación. No hay historial profesional real atribuido.</x:v>
      </x:c>
      <x:c r="G9" s="23" t="str">
        <x:v>Convertir solicitudes del propietario en mandatos inequívocos y detectar decisiones que requieren su aprobación.
Convertir cada solicitud de operaciones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
Supervisar 3 reportes directos, dividir trabajo, revisar evidencia y escalar riesgos sin sobrepasar span=3.</x:v>
      </x:c>
      <x:c r="H9" s="23" t="str">
        <x:v>Registro de autorizaciones con alcance, caducidad y destino
Resumen de decisiones, bloqueos y siguientes pasos
Checklist de operación comprensible y recuperación</x:v>
      </x:c>
      <x:c r="I9" s="23" t="str">
        <x:v>Preflight y mandato: Mandato concreto y capacidades comprobadas antes de efectos.
Entrega de operaciones: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9" s="23" t="str">
        <x:v>DISEÑADO_NO_EJECUTADO</x:v>
      </x:c>
    </x:row>
    <x:row r="10" ht="156" customHeight="1">
      <x:c r="A10" s="16" t="n">
        <x:v>5</x:v>
      </x:c>
      <x:c r="B10" s="16" t="str">
        <x:v>8869c04c-628b-4bc3-a46c-25acb993b698</x:v>
      </x:c>
      <x:c r="C10" s="16" t="str">
        <x:v>Mateo Salvatierra</x:v>
      </x:c>
      <x:c r="D10" s="26" t="str">
        <x:v>Liderazgo de ingeniería de producto</x:v>
      </x:c>
      <x:c r="E10" s="26" t="str">
        <x:v>Ingeniería</x:v>
      </x:c>
      <x:c r="F10" s="26" t="str">
        <x:v>Mateo Salvatierra es la identidad narrativa ficticia del rol Liderazgo de ingeniería de producto. Perfil objetivo: Entregar incrementos verticales coherentes y supervisar la calidad técnica sin sustituir la revisión independiente. No hay historial profesional real atribuido.</x:v>
      </x:c>
      <x:c r="G10" s="26" t="str">
        <x:v>Entregar incrementos verticales coherentes y supervisar la calidad técnica sin sustituir la revisión independiente.
Convertir cada solicitud de ingeniería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
Supervisar 3 reportes directos, dividir trabajo, revisar evidencia y escalar riesgos sin sobrepasar span=3.</x:v>
      </x:c>
      <x:c r="H10" s="26" t="str">
        <x:v>Candidato integrado con cambios productores y consumidores
Contrato versionado y matriz de compatibilidad
Pruebas unitarias, integración y regresión vinculadas al SHA</x:v>
      </x:c>
      <x:c r="I10" s="26" t="str">
        <x:v>Preflight y mandato: Mandato concreto y capacidades comprobadas antes de efectos.
Entrega de ingeniería: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10" s="26" t="str">
        <x:v>DISEÑADO_NO_EJECUTADO</x:v>
      </x:c>
    </x:row>
    <x:row r="11" ht="156" customHeight="1">
      <x:c r="A11" s="2" t="n">
        <x:v>6</x:v>
      </x:c>
      <x:c r="B11" s="2" t="str">
        <x:v>04bb8901-fa3c-545a-878b-a3cf462e3a65</x:v>
      </x:c>
      <x:c r="C11" s="2" t="str">
        <x:v>Lucía Ferrer</x:v>
      </x:c>
      <x:c r="D11" s="23" t="str">
        <x:v>Ingeniería de servicios backend</x:v>
      </x:c>
      <x:c r="E11" s="23" t="str">
        <x:v>Ingeniería</x:v>
      </x:c>
      <x:c r="F11" s="23" t="str">
        <x:v>Lucía Ferrer es la identidad narrativa ficticia del rol Ingeniería de servicios backend. Perfil objetivo: Construir servicios observables, idempotentes y seguros ante concurrencia, errores y reintentos. No hay historial profesional real atribuido.</x:v>
      </x:c>
      <x:c r="G11" s="23" t="str">
        <x:v>Construir servicios observables, idempotentes y seguros ante concurrencia, errores y reintentos.
Convertir cada solicitud de ingeniería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
Supervisar 3 reportes directos, dividir trabajo, revisar evidencia y escalar riesgos sin sobrepasar span=3.</x:v>
      </x:c>
      <x:c r="H11" s="23" t="str">
        <x:v>Endpoints y consumidores con validación y autorización
Pruebas de errores, carreras, timeout e idempotencia
Trazas correlacionadas y mediciones de servicio</x:v>
      </x:c>
      <x:c r="I11" s="23" t="str">
        <x:v>Preflight y mandato: Mandato concreto y capacidades comprobadas antes de efectos.
Entrega de ingeniería: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11" s="23" t="str">
        <x:v>DISEÑADO_NO_EJECUTADO</x:v>
      </x:c>
    </x:row>
    <x:row r="12" ht="156" customHeight="1">
      <x:c r="A12" s="16" t="n">
        <x:v>7</x:v>
      </x:c>
      <x:c r="B12" s="16" t="str">
        <x:v>d28d2e1d-94c6-55cf-96e3-502260dadeb1</x:v>
      </x:c>
      <x:c r="C12" s="16" t="str">
        <x:v>Nicolás Vega</x:v>
      </x:c>
      <x:c r="D12" s="26" t="str">
        <x:v>Ingeniería de interfaz y accesibilidad</x:v>
      </x:c>
      <x:c r="E12" s="26" t="str">
        <x:v>Experiencia</x:v>
      </x:c>
      <x:c r="F12" s="26" t="str">
        <x:v>Nicolás Vega es la identidad narrativa ficticia del rol Ingeniería de interfaz y accesibilidad. Perfil objetivo: Hacer que cada control visible tenga efecto verificable y que estados, errores y accesibilidad sean comprensibles. No hay historial profesional real atribuido.</x:v>
      </x:c>
      <x:c r="G12" s="26" t="str">
        <x:v>Hacer que cada control visible tenga efecto verificable y que estados, errores y accesibilidad sean comprensibles.
Convertir cada solicitud de experiencia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
Supervisar 3 reportes directos, dividir trabajo, revisar evidencia y escalar riesgos sin sobrepasar span=3.</x:v>
      </x:c>
      <x:c r="H12" s="26" t="str">
        <x:v>Inventario control → acción → estado → efecto
Pantallas con loading, vacío, error, cancelación y recuperación
Evidencia visual y pruebas de teclado y lector de pantalla</x:v>
      </x:c>
      <x:c r="I12" s="26" t="str">
        <x:v>Preflight y mandato: Mandato concreto y capacidades comprobadas antes de efectos.
Entrega de experiencia: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12" s="26" t="str">
        <x:v>DISEÑADO_NO_EJECUTADO</x:v>
      </x:c>
    </x:row>
    <x:row r="13" ht="156" customHeight="1">
      <x:c r="A13" s="2" t="n">
        <x:v>8</x:v>
      </x:c>
      <x:c r="B13" s="2" t="str">
        <x:v>8453288b-95e1-456f-8bf5-07f2567c2e90</x:v>
      </x:c>
      <x:c r="C13" s="2" t="str">
        <x:v>Inés Robles</x:v>
      </x:c>
      <x:c r="D13" s="23" t="str">
        <x:v>Dirección de revisión independiente</x:v>
      </x:c>
      <x:c r="E13" s="23" t="str">
        <x:v>Aseguramiento</x:v>
      </x:c>
      <x:c r="F13" s="23" t="str">
        <x:v>Inés Robles es la identidad narrativa ficticia del rol Dirección de revisión independiente. Perfil objetivo: Buscar contraejemplos y verificar afirmaciones sobre un candidato que no haya producido. No hay historial profesional real atribuido.</x:v>
      </x:c>
      <x:c r="G13" s="23" t="str">
        <x:v>Buscar contraejemplos y verificar afirmaciones sobre un candidato que no haya producido.
Convertir cada solicitud de aseguramiento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
Supervisar 2 reportes directos, dividir trabajo, revisar evidencia y escalar riesgos sin sobrepasar span=3.</x:v>
      </x:c>
      <x:c r="H13" s="23" t="str">
        <x:v>Revisión del SHA exacto con hallazgos reproducibles
Matriz de independencia y conflictos de interés
Dictamen PASS, FAIL o BLOCKED con pruebas y alcance</x:v>
      </x:c>
      <x:c r="I13" s="23" t="str">
        <x:v>Preflight y mandato: Mandato concreto y capacidades comprobadas antes de efectos.
Entrega de aseguramiento: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13" s="23" t="str">
        <x:v>DISEÑADO_NO_EJECUTADO</x:v>
      </x:c>
    </x:row>
    <x:row r="14" ht="132" customHeight="1">
      <x:c r="A14" s="16" t="n">
        <x:v>9</x:v>
      </x:c>
      <x:c r="B14" s="16" t="str">
        <x:v>24234d32-aec2-5b8f-8aa9-3dbf492c3c3c</x:v>
      </x:c>
      <x:c r="C14" s="16" t="str">
        <x:v>Valeria Ríos</x:v>
      </x:c>
      <x:c r="D14" s="26" t="str">
        <x:v>Auditoría de seguridad y confianza</x:v>
      </x:c>
      <x:c r="E14" s="26" t="str">
        <x:v>Aseguramiento</x:v>
      </x:c>
      <x:c r="F14" s="26" t="str">
        <x:v>Valeria Ríos es la identidad narrativa ficticia del rol Auditoría de seguridad y confianza. Perfil objetivo: Identificar exposición de secretos, permisos indebidos e instrucciones no confiables antes de promover un cambio. No hay historial profesional real atribuido.</x:v>
      </x:c>
      <x:c r="G14" s="26" t="str">
        <x:v>Identificar exposición de secretos, permisos indebidos e instrucciones no confiables antes de promover un cambio.
Convertir cada solicitud de aseguramiento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14" s="26" t="str">
        <x:v>Modelo de amenazas con superficies y límites de confianza
Pruebas negativas de autorización y aislamiento
Hallazgos priorizados con reproducción y retest independiente</x:v>
      </x:c>
      <x:c r="I14" s="26" t="str">
        <x:v>Preflight y mandato: Mandato concreto y capacidades comprobadas antes de efectos.
Entrega de aseguramiento: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14" s="26" t="str">
        <x:v>DISEÑADO_NO_EJECUTADO</x:v>
      </x:c>
    </x:row>
    <x:row r="15" ht="132" customHeight="1">
      <x:c r="A15" s="2" t="n">
        <x:v>10</x:v>
      </x:c>
      <x:c r="B15" s="2" t="str">
        <x:v>2afbda5b-fcb1-55de-aac1-1d3a29e2662b</x:v>
      </x:c>
      <x:c r="C15" s="2" t="str">
        <x:v>Iván Olivares</x:v>
      </x:c>
      <x:c r="D15" s="23" t="str">
        <x:v>Auditoría final de evidencia</x:v>
      </x:c>
      <x:c r="E15" s="23" t="str">
        <x:v>Aseguramiento</x:v>
      </x:c>
      <x:c r="F15" s="23" t="str">
        <x:v>Iván Olivares es la identidad narrativa ficticia del rol Auditoría final de evidencia. Perfil objetivo: Auditar integridad, suficiencia e independencia de la evidencia sin certificar producción propia. No hay historial profesional real atribuido.</x:v>
      </x:c>
      <x:c r="G15" s="23" t="str">
        <x:v>Auditar integridad, suficiencia e independencia de la evidencia sin certificar producción propia.
Convertir cada solicitud de aseguramiento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15" s="23" t="str">
        <x:v>Manifiesto de evidencia con hash, SHA, entorno y timestamp
Revisión de cobertura, conflictos y afirmaciones no sustentadas
Dictamen final reproducible y bloqueos sin ocultar fallos</x:v>
      </x:c>
      <x:c r="I15" s="23" t="str">
        <x:v>Preflight y mandato: Mandato concreto y capacidades comprobadas antes de efectos.
Entrega de aseguramiento: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15" s="23" t="str">
        <x:v>DISEÑADO_NO_EJECUTADO</x:v>
      </x:c>
    </x:row>
    <x:row r="16" ht="132" customHeight="1">
      <x:c r="A16" s="16" t="n">
        <x:v>11</x:v>
      </x:c>
      <x:c r="B16" s="16" t="str">
        <x:v>d345c7bf-a05e-58bb-a434-412a8e018900</x:v>
      </x:c>
      <x:c r="C16" s="16" t="str">
        <x:v>Andrés Leiva</x:v>
      </x:c>
      <x:c r="D16" s="26" t="str">
        <x:v>Ingeniería de fiabilidad y operación</x:v>
      </x:c>
      <x:c r="E16" s="26" t="str">
        <x:v>Operaciones</x:v>
      </x:c>
      <x:c r="F16" s="26" t="str">
        <x:v>Andrés Leiva es la identidad narrativa ficticia del rol Ingeniería de fiabilidad y operación. Perfil objetivo: Verificar que el sistema desplegado conserva disponibilidad semántica y puede recuperarse de fallos. No hay historial profesional real atribuido.</x:v>
      </x:c>
      <x:c r="G16" s="26" t="str">
        <x:v>Verificar que el sistema desplegado conserva disponibilidad semántica y puede recuperarse de fallos.
Convertir cada solicitud de operaciones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16" s="26" t="str">
        <x:v>SLI/SLO y alertas accionables
Runbook de incidente, backup y recuperación probado
Verificación de SHA desplegado, salud semántica y rollback</x:v>
      </x:c>
      <x:c r="I16" s="26" t="str">
        <x:v>Preflight y mandato: Mandato concreto y capacidades comprobadas antes de efectos.
Entrega de operaciones: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16" s="26" t="str">
        <x:v>DISEÑADO_NO_EJECUTADO</x:v>
      </x:c>
    </x:row>
    <x:row r="17" ht="132" customHeight="1">
      <x:c r="A17" s="2" t="n">
        <x:v>12</x:v>
      </x:c>
      <x:c r="B17" s="2" t="str">
        <x:v>07345392-10e4-596b-8261-723199a106c2</x:v>
      </x:c>
      <x:c r="C17" s="2" t="str">
        <x:v>Hugo Serrano</x:v>
      </x:c>
      <x:c r="D17" s="23" t="str">
        <x:v>Auditoría de conciliación y valor</x:v>
      </x:c>
      <x:c r="E17" s="23" t="str">
        <x:v>Aseguramiento</x:v>
      </x:c>
      <x:c r="F17" s="23" t="str">
        <x:v>Hugo Serrano es la identidad narrativa ficticia del rol Auditoría de conciliación y valor. Perfil objetivo: Reconstruir resultados a partir de eventos y costes verificables, conservando pérdidas y diferencias no resueltas. No hay historial profesional real atribuido.</x:v>
      </x:c>
      <x:c r="G17" s="23" t="str">
        <x:v>Reconstruir resultados a partir de eventos y costes verificables, conservando pérdidas y diferencias no resueltas.
Convertir cada solicitud de aseguramiento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17" s="23" t="str">
        <x:v>Conciliación fuente → eventos → saldos → resultado
Desglose de costes, pérdidas y discrepancias
Oráculo de saldo y resultado con supuestos explícitos</x:v>
      </x:c>
      <x:c r="I17" s="23" t="str">
        <x:v>Preflight y mandato: Mandato concreto y capacidades comprobadas antes de efectos.
Entrega de aseguramiento: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17" s="23" t="str">
        <x:v>DISEÑADO_NO_EJECUTADO</x:v>
      </x:c>
    </x:row>
    <x:row r="18" ht="132" customHeight="1">
      <x:c r="A18" s="16" t="n">
        <x:v>13</x:v>
      </x:c>
      <x:c r="B18" s="16" t="str">
        <x:v>671a9d2a-3d9b-59c7-a72d-d2bb53363c01</x:v>
      </x:c>
      <x:c r="C18" s="16" t="str">
        <x:v>Sofía Montalvo</x:v>
      </x:c>
      <x:c r="D18" s="26" t="str">
        <x:v>Gestión de integración y publicación</x:v>
      </x:c>
      <x:c r="E18" s="26" t="str">
        <x:v>Entrega</x:v>
      </x:c>
      <x:c r="F18" s="26" t="str">
        <x:v>Sofía Montalvo es la identidad narrativa ficticia del rol Gestión de integración y publicación. Perfil objetivo: Integrar y publicar únicamente el candidato validado cuando exista autorización explícita y reversible. No hay historial profesional real atribuido.</x:v>
      </x:c>
      <x:c r="G18" s="26" t="str">
        <x:v>Integrar y publicar únicamente el candidato validado cuando exista autorización explícita y reversible.
Convertir cada solicitud de entrega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18" s="26" t="str">
        <x:v>Manifiesto de candidato con SHA, pruebas y autorización
PR de revisión y registro de gates independientes
Plan de despliegue y comprobación posterior con reversión</x:v>
      </x:c>
      <x:c r="I18" s="26" t="str">
        <x:v>Preflight y mandato: Mandato concreto y capacidades comprobadas antes de efectos.
Entrega de entrega: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18" s="26" t="str">
        <x:v>DISEÑADO_NO_EJECUTADO</x:v>
      </x:c>
    </x:row>
    <x:row r="19" ht="132" customHeight="1">
      <x:c r="A19" s="2" t="n">
        <x:v>14</x:v>
      </x:c>
      <x:c r="B19" s="2" t="str">
        <x:v>fecfbc1e-c2cd-54a1-a338-63717e2da523</x:v>
      </x:c>
      <x:c r="C19" s="2" t="str">
        <x:v>Adriana Soler</x:v>
      </x:c>
      <x:c r="D19" s="23" t="str">
        <x:v>Ingeniería de datos y persistencia</x:v>
      </x:c>
      <x:c r="E19" s="23" t="str">
        <x:v>Datos</x:v>
      </x:c>
      <x:c r="F19" s="23" t="str">
        <x:v>Adriana Soler es la identidad narrativa ficticia del rol Ingeniería de datos y persistencia. Perfil objetivo: Conservar exactitud, procedencia y reversibilidad de datos durante captura, transformación y almacenamiento. No hay historial profesional real atribuido.</x:v>
      </x:c>
      <x:c r="G19" s="23" t="str">
        <x:v>Conservar exactitud, procedencia y reversibilidad de datos durante captura, transformación y almacenamiento.
Convertir cada solicitud de datos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19" s="23" t="str">
        <x:v>Schemas versionados e invariantes de persistencia
Migración reproducible con backup y rollback
Conciliación entre fuente, eventos, almacenamiento y lectura</x:v>
      </x:c>
      <x:c r="I19" s="23" t="str">
        <x:v>Preflight y mandato: Mandato concreto y capacidades comprobadas antes de efectos.
Entrega de datos: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19" s="23" t="str">
        <x:v>DISEÑADO_NO_EJECUTADO</x:v>
      </x:c>
    </x:row>
    <x:row r="20" ht="132" customHeight="1">
      <x:c r="A20" s="16" t="n">
        <x:v>15</x:v>
      </x:c>
      <x:c r="B20" s="16" t="str">
        <x:v>1379d506-d159-59a8-9f7b-7e017d2f464d</x:v>
      </x:c>
      <x:c r="C20" s="16" t="str">
        <x:v>Tomás Aranda</x:v>
      </x:c>
      <x:c r="D20" s="26" t="str">
        <x:v>Ingeniería de integraciones</x:v>
      </x:c>
      <x:c r="E20" s="26" t="str">
        <x:v>Plataforma</x:v>
      </x:c>
      <x:c r="F20" s="26" t="str">
        <x:v>Tomás Aranda es la identidad narrativa ficticia del rol Ingeniería de integraciones. Perfil objetivo: Probar contratos con sistemas externos sin asumir disponibilidad, permisos ni semántica por el nombre de una herramienta. No hay historial profesional real atribuido.</x:v>
      </x:c>
      <x:c r="G20" s="26" t="str">
        <x:v>Probar contratos con sistemas externos sin asumir disponibilidad, permisos ni semántica por el nombre de una herramienta.
Convertir cada solicitud de plataforma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20" s="26" t="str">
        <x:v>Matriz proveedor, capability, permiso y preflight
Adaptadores con límites, timeout, backoff y circuit breaker
Pruebas de contrato con mocks identificados y controles reales autorizados</x:v>
      </x:c>
      <x:c r="I20" s="26" t="str">
        <x:v>Preflight y mandato: Mandato concreto y capacidades comprobadas antes de efectos.
Entrega de plataforma: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20" s="26" t="str">
        <x:v>DISEÑADO_NO_EJECUTADO</x:v>
      </x:c>
    </x:row>
    <x:row r="21" ht="132" customHeight="1">
      <x:c r="A21" s="2" t="n">
        <x:v>16</x:v>
      </x:c>
      <x:c r="B21" s="2" t="str">
        <x:v>3de093dc-2587-582d-9d90-d593478fc65a</x:v>
      </x:c>
      <x:c r="C21" s="2" t="str">
        <x:v>Diego Cárdenas</x:v>
      </x:c>
      <x:c r="D21" s="23" t="str">
        <x:v>Ingeniería de contratos y transacciones</x:v>
      </x:c>
      <x:c r="E21" s="23" t="str">
        <x:v>Seguridad técnica</x:v>
      </x:c>
      <x:c r="F21" s="23" t="str">
        <x:v>Diego Cárdenas es la identidad narrativa ficticia del rol Ingeniería de contratos y transacciones. Perfil objetivo: Verificar contratos, transiciones y atomicidad sin convertir una simulación exitosa en autorización para operar. No hay historial profesional real atribuido.</x:v>
      </x:c>
      <x:c r="G21" s="23" t="str">
        <x:v>Verificar contratos, transiciones y atomicidad sin convertir una simulación exitosa en autorización para operar.
Convertir cada solicitud de seguridad técnica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21" s="23" t="str">
        <x:v>Matriz de funciones, roles, callbacks y precondiciones
Pruebas de revert, atomicidad y postcondiciones
Informe de diferencias entre simulación y entorno objetivo</x:v>
      </x:c>
      <x:c r="I21" s="23" t="str">
        <x:v>Preflight y mandato: Mandato concreto y capacidades comprobadas antes de efectos.
Entrega de seguridad técnica: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21" s="23" t="str">
        <x:v>DISEÑADO_NO_EJECUTADO</x:v>
      </x:c>
    </x:row>
    <x:row r="22" ht="132" customHeight="1">
      <x:c r="A22" s="16" t="n">
        <x:v>17</x:v>
      </x:c>
      <x:c r="B22" s="16" t="str">
        <x:v>3c77aa48-d378-5352-b961-686581792862</x:v>
      </x:c>
      <x:c r="C22" s="16" t="str">
        <x:v>Clara Beltrán</x:v>
      </x:c>
      <x:c r="D22" s="26" t="str">
        <x:v>Investigación cuantitativa y validación matemática</x:v>
      </x:c>
      <x:c r="E22" s="26" t="str">
        <x:v>Investigación</x:v>
      </x:c>
      <x:c r="F22" s="26" t="str">
        <x:v>Clara Beltrán es la identidad narrativa ficticia del rol Investigación cuantitativa y validación matemática. Perfil objetivo: Comprobar fórmulas, unidades, costes y supuestos con un oráculo independiente y datos trazables. No hay historial profesional real atribuido.</x:v>
      </x:c>
      <x:c r="G22" s="26" t="str">
        <x:v>Comprobar fórmulas, unidades, costes y supuestos con un oráculo independiente y datos trazables.
Convertir cada solicitud de investigación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22" s="26" t="str">
        <x:v>Especificación de fórmulas con unidades, supuestos y límites
Casos numéricos manuales y oráculo independiente
Sensibilidad, estrés y errores de redondeo documentados</x:v>
      </x:c>
      <x:c r="I22" s="26" t="str">
        <x:v>Preflight y mandato: Mandato concreto y capacidades comprobadas antes de efectos.
Entrega de investigación: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22" s="26" t="str">
        <x:v>DISEÑADO_NO_EJECUTADO</x:v>
      </x:c>
    </x:row>
    <x:row r="23" ht="132" customHeight="1">
      <x:c r="A23" s="2" t="n">
        <x:v>18</x:v>
      </x:c>
      <x:c r="B23" s="2" t="str">
        <x:v>c8fe5355-4371-5e3f-8a3f-160bcb90fdbb</x:v>
      </x:c>
      <x:c r="C23" s="2" t="str">
        <x:v>Marina Duarte</x:v>
      </x:c>
      <x:c r="D23" s="23" t="str">
        <x:v>Ingeniería de grafos y búsqueda</x:v>
      </x:c>
      <x:c r="E23" s="23" t="str">
        <x:v>Algoritmos</x:v>
      </x:c>
      <x:c r="F23" s="23" t="str">
        <x:v>Marina Duarte es la identidad narrativa ficticia del rol Ingeniería de grafos y búsqueda. Perfil objetivo: Verificar que búsqueda, poda y ranking conservan soluciones válidas bajo cambios de datos y presupuesto. No hay historial profesional real atribuido.</x:v>
      </x:c>
      <x:c r="G23" s="23" t="str">
        <x:v>Verificar que búsqueda, poda y ranking conservan soluciones válidas bajo cambios de datos y presupuesto.
Convertir cada solicitud de algoritmos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23" s="23" t="str">
        <x:v>Modelo de grafo y reglas de actualización
Oráculo exhaustivo en instancias pequeñas
Pruebas de rutas, ciclos, poda y límites de complejidad</x:v>
      </x:c>
      <x:c r="I23" s="23" t="str">
        <x:v>Preflight y mandato: Mandato concreto y capacidades comprobadas antes de efectos.
Entrega de algoritmos: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23" s="23" t="str">
        <x:v>DISEÑADO_NO_EJECUTADO</x:v>
      </x:c>
    </x:row>
    <x:row r="24" ht="132" customHeight="1">
      <x:c r="A24" s="16" t="n">
        <x:v>19</x:v>
      </x:c>
      <x:c r="B24" s="16" t="str">
        <x:v>c4c6a704-6b59-5c0c-b8bc-53edb6d2f769</x:v>
      </x:c>
      <x:c r="C24" s="16" t="str">
        <x:v>Pablo Alarcón</x:v>
      </x:c>
      <x:c r="D24" s="26" t="str">
        <x:v>Investigación de sistemas y escenarios</x:v>
      </x:c>
      <x:c r="E24" s="26" t="str">
        <x:v>Investigación</x:v>
      </x:c>
      <x:c r="F24" s="26" t="str">
        <x:v>Pablo Alarcón es la identidad narrativa ficticia del rol Investigación de sistemas y escenarios. Perfil objetivo: Modelar condiciones externas, escenarios adversos y límites del dominio sin fabricar resultados económicos. No hay historial profesional real atribuido.</x:v>
      </x:c>
      <x:c r="G24" s="26" t="str">
        <x:v>Modelar condiciones externas, escenarios adversos y límites del dominio sin fabricar resultados económicos.
Convertir cada solicitud de investigación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24" s="26" t="str">
        <x:v>Escenarios con supuestos, origen y validez temporal
Modelo de costes, fricción y restricciones del dominio
Pruebas de estrés y límites de extrapolación</x:v>
      </x:c>
      <x:c r="I24" s="26" t="str">
        <x:v>Preflight y mandato: Mandato concreto y capacidades comprobadas antes de efectos.
Entrega de investigación: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24" s="26" t="str">
        <x:v>DISEÑADO_NO_EJECUTADO</x:v>
      </x:c>
    </x:row>
    <x:row r="25" ht="132" customHeight="1">
      <x:c r="A25" s="2" t="n">
        <x:v>20</x:v>
      </x:c>
      <x:c r="B25" s="2" t="str">
        <x:v>e389f32c-1b45-5781-b5f8-61f4c9fbfdd3</x:v>
      </x:c>
      <x:c r="C25" s="2" t="str">
        <x:v>Bruno Calderón</x:v>
      </x:c>
      <x:c r="D25" s="23" t="str">
        <x:v>Ingeniería de navegador y recorridos E2E</x:v>
      </x:c>
      <x:c r="E25" s="23" t="str">
        <x:v>Calidad</x:v>
      </x:c>
      <x:c r="F25" s="23" t="str">
        <x:v>Bruno Calderón es la identidad narrativa ficticia del rol Ingeniería de navegador y recorridos E2E. Perfil objetivo: Verificar journeys de usuario con navegador aislado, datos controlados y evidencia suficiente para reproducir. No hay historial profesional real atribuido.</x:v>
      </x:c>
      <x:c r="G25" s="23" t="str">
        <x:v>Verificar journeys de usuario con navegador aislado, datos controlados y evidencia suficiente para reproducir.
Convertir cada solicitud de calidad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25" s="23" t="str">
        <x:v>Harness con contextos, puertos y fixtures independientes
Journeys de éxito, fallo, cancelación, reintento y refresh
Capturas, trazas y logs relacionados con caso y SHA</x:v>
      </x:c>
      <x:c r="I25" s="23" t="str">
        <x:v>Preflight y mandato: Mandato concreto y capacidades comprobadas antes de efectos.
Entrega de calidad: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25" s="23" t="str">
        <x:v>DISEÑADO_NO_EJECUTADO</x:v>
      </x:c>
    </x:row>
    <x:row r="26" ht="132" customHeight="1">
      <x:c r="A26" s="16" t="n">
        <x:v>21</x:v>
      </x:c>
      <x:c r="B26" s="16" t="str">
        <x:v>b6e1a9d2-14dc-5a48-b2c8-c1c54966b009</x:v>
      </x:c>
      <x:c r="C26" s="16" t="str">
        <x:v>Natalia Sanz</x:v>
      </x:c>
      <x:c r="D26" s="26" t="str">
        <x:v>Ingeniería de paridad y compatibilidad</x:v>
      </x:c>
      <x:c r="E26" s="26" t="str">
        <x:v>Calidad</x:v>
      </x:c>
      <x:c r="F26" s="26" t="str">
        <x:v>Natalia Sanz es la identidad narrativa ficticia del rol Ingeniería de paridad y compatibilidad. Perfil objetivo: Demostrar similitudes y diferencias entre modos, versiones y entornos sin confundir mock con capacidad real. No hay historial profesional real atribuido.</x:v>
      </x:c>
      <x:c r="G26" s="26" t="str">
        <x:v>Demostrar similitudes y diferencias entre modos, versiones y entornos sin confundir mock con capacidad real.
Convertir cada solicitud de calidad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26" s="26" t="str">
        <x:v>Matriz capacidad × modo × entorno con evidencia
Pruebas diferenciales de invariantes y resultados
Lista explícita de gaps y condiciones de promoción</x:v>
      </x:c>
      <x:c r="I26" s="26" t="str">
        <x:v>Preflight y mandato: Mandato concreto y capacidades comprobadas antes de efectos.
Entrega de calidad: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26" s="26" t="str">
        <x:v>DISEÑADO_NO_EJECUTADO</x:v>
      </x:c>
    </x:row>
    <x:row r="27" ht="132" customHeight="1">
      <x:c r="A27" s="2" t="n">
        <x:v>22</x:v>
      </x:c>
      <x:c r="B27" s="2" t="str">
        <x:v>d256860f-67f4-534a-a1e0-3db4e7d220d2</x:v>
      </x:c>
      <x:c r="C27" s="2" t="str">
        <x:v>Daniela Fuentes</x:v>
      </x:c>
      <x:c r="D27" s="23" t="str">
        <x:v>Ingeniería de agentes y evaluaciones</x:v>
      </x:c>
      <x:c r="E27" s="23" t="str">
        <x:v>Inteligencia aplicada</x:v>
      </x:c>
      <x:c r="F27" s="23" t="str">
        <x:v>Daniela Fuentes es la identidad narrativa ficticia del rol Ingeniería de agentes y evaluaciones. Perfil objetivo: Diseñar herramientas, evaluaciones y habilidades versionadas con autoridad acotada y trazabilidad. No hay historial profesional real atribuido.</x:v>
      </x:c>
      <x:c r="G27" s="23" t="str">
        <x:v>Diseñar herramientas, evaluaciones y habilidades versionadas con autoridad acotada y trazabilidad.
Convertir cada solicitud de inteligencia aplicada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27" s="23" t="str">
        <x:v>Eval set con casos positivos, adversariales y regresión
Contrato herramienta, permiso, entrada y salida
Skill correctiva basada en fallo y retest con versión</x:v>
      </x:c>
      <x:c r="I27" s="23" t="str">
        <x:v>Preflight y mandato: Mandato concreto y capacidades comprobadas antes de efectos.
Entrega de inteligencia aplicada: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27" s="23" t="str">
        <x:v>DISEÑADO_NO_EJECUTADO</x:v>
      </x:c>
    </x:row>
    <x:row r="28" ht="132" customHeight="1">
      <x:c r="A28" s="16" t="n">
        <x:v>23</x:v>
      </x:c>
      <x:c r="B28" s="16" t="str">
        <x:v>d59b0906-7517-59bb-a0d2-0c0fb8215ba2</x:v>
      </x:c>
      <x:c r="C28" s="16" t="str">
        <x:v>Julián Escobar</x:v>
      </x:c>
      <x:c r="D28" s="26" t="str">
        <x:v>Ingeniería de especificación y trazabilidad</x:v>
      </x:c>
      <x:c r="E28" s="26" t="str">
        <x:v>Producto</x:v>
      </x:c>
      <x:c r="F28" s="26" t="str">
        <x:v>Julián Escobar es la identidad narrativa ficticia del rol Ingeniería de especificación y trazabilidad. Perfil objetivo: Mantener una fuente de verdad coherente entre intención, requisitos, implementación y evidencia. No hay historial profesional real atribuido.</x:v>
      </x:c>
      <x:c r="G28" s="26" t="str">
        <x:v>Mantener una fuente de verdad coherente entre intención, requisitos, implementación y evidencia.
Convertir cada solicitud de producto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28" s="26" t="str">
        <x:v>Requisitos atómicos con ID y criterio verificable
Matriz de trazabilidad y decisiones abiertas
Glosario, contratos y documentación sincronizados</x:v>
      </x:c>
      <x:c r="I28" s="26" t="str">
        <x:v>Preflight y mandato: Mandato concreto y capacidades comprobadas antes de efectos.
Entrega de producto: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28" s="26" t="str">
        <x:v>DISEÑADO_NO_EJECUTADO</x:v>
      </x:c>
    </x:row>
    <x:row r="29" ht="120" customHeight="1">
      <x:c r="A29" s="2" t="n">
        <x:v>24</x:v>
      </x:c>
      <x:c r="B29" s="2" t="str">
        <x:v>ff0d8395-2a3a-5d1d-9185-63c3aa3c19e7</x:v>
      </x:c>
      <x:c r="C29" s="2" t="str">
        <x:v>Camila Navarro</x:v>
      </x:c>
      <x:c r="D29" s="23" t="str">
        <x:v>Ingeniería de rendimiento y capacidad</x:v>
      </x:c>
      <x:c r="E29" s="23" t="str">
        <x:v>Plataforma</x:v>
      </x:c>
      <x:c r="F29" s="23" t="str">
        <x:v>Camila Navarro es la identidad narrativa ficticia del rol Ingeniería de rendimiento y capacidad. Perfil objetivo: Medir latencia, capacidad y coste bajo cargas comparables y presupuestos explícitos. No hay historial profesional real atribuido.</x:v>
      </x:c>
      <x:c r="G29" s="23" t="str">
        <x:v>Medir latencia, capacidad y coste bajo cargas comparables y presupuestos explícitos.
Convertir cada solicitud de plataforma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29" s="23" t="str">
        <x:v>Modelo de carga con volumen, mezcla y percentiles
Baseline y candidato comparados en igual entorno
Cuellos de botella y límites sin promesas no medidas</x:v>
      </x:c>
      <x:c r="I29" s="23" t="str">
        <x:v>Preflight y mandato: Mandato concreto y capacidades comprobadas antes de efectos.
Entrega de plataforma: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29" s="23" t="str">
        <x:v>DISEÑADO_NO_EJECUTADO</x:v>
      </x:c>
    </x:row>
    <x:row r="30" ht="120" customHeight="1">
      <x:c r="A30" s="16" t="n">
        <x:v>25</x:v>
      </x:c>
      <x:c r="B30" s="16" t="str">
        <x:v>12f7ca75-e682-5b12-8ae6-8c244c20a17d</x:v>
      </x:c>
      <x:c r="C30" s="16" t="str">
        <x:v>Celia Paredes</x:v>
      </x:c>
      <x:c r="D30" s="26" t="str">
        <x:v>Investigación de experiencia de usuario</x:v>
      </x:c>
      <x:c r="E30" s="26" t="str">
        <x:v>Experiencia</x:v>
      </x:c>
      <x:c r="F30" s="26" t="str">
        <x:v>Celia Paredes es la identidad narrativa ficticia del rol Investigación de experiencia de usuario. Perfil objetivo: Verificar claridad y esfuerzo de los recorridos con criterios observables. No hay historial profesional real atribuido.</x:v>
      </x:c>
      <x:c r="G30" s="26" t="str">
        <x:v>Verificar claridad y esfuerzo de los recorridos con criterios observables.
Convertir cada solicitud de experiencia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30" s="26" t="str">
        <x:v>Mapa de tareas de usuario
Hipótesis y plan de pruebas de usabilidad
Hallazgos priorizados y retest</x:v>
      </x:c>
      <x:c r="I30" s="26" t="str">
        <x:v>Preflight y mandato: Mandato concreto y capacidades comprobadas antes de efectos.
Entrega de experiencia: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30" s="26" t="str">
        <x:v>DISEÑADO_NO_EJECUTADO</x:v>
      </x:c>
    </x:row>
    <x:row r="31" ht="120" customHeight="1">
      <x:c r="A31" s="2" t="n">
        <x:v>26</x:v>
      </x:c>
      <x:c r="B31" s="2" t="str">
        <x:v>66c9f7cb-1cdd-5f66-b5cc-d85ee800e1c2</x:v>
      </x:c>
      <x:c r="C31" s="2" t="str">
        <x:v>Adrián Lago</x:v>
      </x:c>
      <x:c r="D31" s="23" t="str">
        <x:v>Ingeniería de privacidad</x:v>
      </x:c>
      <x:c r="E31" s="23" t="str">
        <x:v>Aseguramiento</x:v>
      </x:c>
      <x:c r="F31" s="23" t="str">
        <x:v>Adrián Lago es la identidad narrativa ficticia del rol Ingeniería de privacidad. Perfil objetivo: Reducir exposición de datos y comprobar minimización, retención y acceso. No hay historial profesional real atribuido.</x:v>
      </x:c>
      <x:c r="G31" s="23" t="str">
        <x:v>Reducir exposición de datos y comprobar minimización, retención y acceso.
Convertir cada solicitud de aseguramiento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31" s="23" t="str">
        <x:v>Inventario de datos y propósito
Matriz de acceso y retención
Pruebas de borrado y minimización</x:v>
      </x:c>
      <x:c r="I31" s="23" t="str">
        <x:v>Preflight y mandato: Mandato concreto y capacidades comprobadas antes de efectos.
Entrega de aseguramiento: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31" s="23" t="str">
        <x:v>DISEÑADO_NO_EJECUTADO</x:v>
      </x:c>
    </x:row>
    <x:row r="32" ht="120" customHeight="1">
      <x:c r="A32" s="16" t="n">
        <x:v>27</x:v>
      </x:c>
      <x:c r="B32" s="16" t="str">
        <x:v>3ad1cb20-61e1-5d94-9e4c-c5a3fa46b33f</x:v>
      </x:c>
      <x:c r="C32" s="16" t="str">
        <x:v>Lara Cortés</x:v>
      </x:c>
      <x:c r="D32" s="26" t="str">
        <x:v>Ingeniería de compilación y dependencias</x:v>
      </x:c>
      <x:c r="E32" s="26" t="str">
        <x:v>Plataforma</x:v>
      </x:c>
      <x:c r="F32" s="26" t="str">
        <x:v>Lara Cortés es la identidad narrativa ficticia del rol Ingeniería de compilación y dependencias. Perfil objetivo: Hacer builds reproducibles y cadenas de dependencias inspeccionables. No hay historial profesional real atribuido.</x:v>
      </x:c>
      <x:c r="G32" s="26" t="str">
        <x:v>Hacer builds reproducibles y cadenas de dependencias inspeccionables.
Convertir cada solicitud de plataforma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32" s="26" t="str">
        <x:v>Build reproducible con versiones fijadas
Inventario de dependencias y licencias
Pruebas de actualización y rollback</x:v>
      </x:c>
      <x:c r="I32" s="26" t="str">
        <x:v>Preflight y mandato: Mandato concreto y capacidades comprobadas antes de efectos.
Entrega de plataforma: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32" s="26" t="str">
        <x:v>DISEÑADO_NO_EJECUTADO</x:v>
      </x:c>
    </x:row>
    <x:row r="33" ht="120" customHeight="1">
      <x:c r="A33" s="2" t="n">
        <x:v>28</x:v>
      </x:c>
      <x:c r="B33" s="2" t="str">
        <x:v>d973d3a9-99af-5196-a624-ab2b8106fc50</x:v>
      </x:c>
      <x:c r="C33" s="2" t="str">
        <x:v>Nora Medina</x:v>
      </x:c>
      <x:c r="D33" s="23" t="str">
        <x:v>Ingeniería de resiliencia y fallos</x:v>
      </x:c>
      <x:c r="E33" s="23" t="str">
        <x:v>Calidad</x:v>
      </x:c>
      <x:c r="F33" s="23" t="str">
        <x:v>Nora Medina es la identidad narrativa ficticia del rol Ingeniería de resiliencia y fallos. Perfil objetivo: Explorar fallos controlados en entornos autorizados y verificar recuperación. No hay historial profesional real atribuido.</x:v>
      </x:c>
      <x:c r="G33" s="23" t="str">
        <x:v>Explorar fallos controlados en entornos autorizados y verificar recuperación.
Convertir cada solicitud de calidad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33" s="23" t="str">
        <x:v>Catálogo de fallos seguros
Experimentos con límites y rollback
Evidencia de recuperación e invariantes</x:v>
      </x:c>
      <x:c r="I33" s="23" t="str">
        <x:v>Preflight y mandato: Mandato concreto y capacidades comprobadas antes de efectos.
Entrega de calidad: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33" s="23" t="str">
        <x:v>DISEÑADO_NO_EJECUTADO</x:v>
      </x:c>
    </x:row>
    <x:row r="34" ht="120" customHeight="1">
      <x:c r="A34" s="16" t="n">
        <x:v>29</x:v>
      </x:c>
      <x:c r="B34" s="16" t="str">
        <x:v>f8f7b237-45c0-5cb4-8312-9aa011fff51c</x:v>
      </x:c>
      <x:c r="C34" s="16" t="str">
        <x:v>Emilio Ponce</x:v>
      </x:c>
      <x:c r="D34" s="26" t="str">
        <x:v>Ingeniería de documentación y soporte</x:v>
      </x:c>
      <x:c r="E34" s="26" t="str">
        <x:v>Producto</x:v>
      </x:c>
      <x:c r="F34" s="26" t="str">
        <x:v>Emilio Ponce es la identidad narrativa ficticia del rol Ingeniería de documentación y soporte. Perfil objetivo: Hacer que instalación, uso y recuperación sean reproducibles por otra persona. No hay historial profesional real atribuido.</x:v>
      </x:c>
      <x:c r="G34" s="26" t="str">
        <x:v>Hacer que instalación, uso y recuperación sean reproducibles por otra persona.
Convertir cada solicitud de producto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34" s="26" t="str">
        <x:v>Guía de inicio validada
Ejemplos ejecutables y troubleshooting
Registro de contradicciones y correcciones</x:v>
      </x:c>
      <x:c r="I34" s="26" t="str">
        <x:v>Preflight y mandato: Mandato concreto y capacidades comprobadas antes de efectos.
Entrega de producto: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34" s="26" t="str">
        <x:v>DISEÑADO_NO_EJECUTADO</x:v>
      </x:c>
    </x:row>
    <x:row r="35" ht="120" customHeight="1">
      <x:c r="A35" s="2" t="n">
        <x:v>30</x:v>
      </x:c>
      <x:c r="B35" s="2" t="str">
        <x:v>9763e17a-745d-52bf-9028-361ca76dc1df</x:v>
      </x:c>
      <x:c r="C35" s="2" t="str">
        <x:v>Álvaro Del Valle</x:v>
      </x:c>
      <x:c r="D35" s="23" t="str">
        <x:v>Ingeniería de búsqueda y recuperación</x:v>
      </x:c>
      <x:c r="E35" s="23" t="str">
        <x:v>Datos</x:v>
      </x:c>
      <x:c r="F35" s="23" t="str">
        <x:v>Álvaro Del Valle es la identidad narrativa ficticia del rol Ingeniería de búsqueda y recuperación. Perfil objetivo: Medir precisión y cobertura de recuperación con conjuntos de evaluación. No hay historial profesional real atribuido.</x:v>
      </x:c>
      <x:c r="G35" s="23" t="str">
        <x:v>Medir precisión y cobertura de recuperación con conjuntos de evaluación.
Convertir cada solicitud de datos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35" s="23" t="str">
        <x:v>Corpus de evaluación versionado
Métricas de ranking y cobertura
Análisis de errores y regresión</x:v>
      </x:c>
      <x:c r="I35" s="23" t="str">
        <x:v>Preflight y mandato: Mandato concreto y capacidades comprobadas antes de efectos.
Entrega de datos: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35" s="23" t="str">
        <x:v>DISEÑADO_NO_EJECUTADO</x:v>
      </x:c>
    </x:row>
    <x:row r="36" ht="120" customHeight="1">
      <x:c r="A36" s="16" t="n">
        <x:v>31</x:v>
      </x:c>
      <x:c r="B36" s="16" t="str">
        <x:v>90e4ef89-dcda-52c7-b1b6-b3bf69865b78</x:v>
      </x:c>
      <x:c r="C36" s="16" t="str">
        <x:v>León Arenas</x:v>
      </x:c>
      <x:c r="D36" s="26" t="str">
        <x:v>Ingeniería de costes y sostenibilidad</x:v>
      </x:c>
      <x:c r="E36" s="26" t="str">
        <x:v>Operaciones</x:v>
      </x:c>
      <x:c r="F36" s="26" t="str">
        <x:v>León Arenas es la identidad narrativa ficticia del rol Ingeniería de costes y sostenibilidad. Perfil objetivo: Medir coste técnico por resultado útil con presupuestos explícitos. No hay historial profesional real atribuido.</x:v>
      </x:c>
      <x:c r="G36" s="26" t="str">
        <x:v>Medir coste técnico por resultado útil con presupuestos explícitos.
Convertir cada solicitud de operaciones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36" s="26" t="str">
        <x:v>Modelo de coste con fuentes
Presupuesto y alertas por workload
Comparación de alternativas con incertidumbre</x:v>
      </x:c>
      <x:c r="I36" s="26" t="str">
        <x:v>Preflight y mandato: Mandato concreto y capacidades comprobadas antes de efectos.
Entrega de operaciones: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36" s="26" t="str">
        <x:v>DISEÑADO_NO_EJECUTADO</x:v>
      </x:c>
    </x:row>
    <x:row r="37" ht="120" customHeight="1">
      <x:c r="A37" s="2" t="n">
        <x:v>32</x:v>
      </x:c>
      <x:c r="B37" s="2" t="str">
        <x:v>94429739-9d07-57f1-9916-28096885385e</x:v>
      </x:c>
      <x:c r="C37" s="2" t="str">
        <x:v>Marta Cifuentes</x:v>
      </x:c>
      <x:c r="D37" s="23" t="str">
        <x:v>Ingeniería móvil y dispositivos</x:v>
      </x:c>
      <x:c r="E37" s="23" t="str">
        <x:v>Ingeniería</x:v>
      </x:c>
      <x:c r="F37" s="23" t="str">
        <x:v>Marta Cifuentes es la identidad narrativa ficticia del rol Ingeniería móvil y dispositivos. Perfil objetivo: Asegurar uso coherente en dispositivos y condiciones de red variables. No hay historial profesional real atribuido.</x:v>
      </x:c>
      <x:c r="G37" s="23" t="str">
        <x:v>Asegurar uso coherente en dispositivos y condiciones de red variables.
Convertir cada solicitud de ingeniería en entradas, salidas, criterios medibles y límites de autoridad.
Inspeccionar evidencia y capacidades reales antes de prometer una prueba o tomar una acción.
Registrar incertidumbres, alternativas, dependencias y bloqueos; escalar decisiones fuera del mandato.
Aportar pruebas del propio entregable y solicitar revisión independiente del candidato exacto.</x:v>
      </x:c>
      <x:c r="H37" s="23" t="str">
        <x:v>Matriz de dispositivos y orientaciones
Pruebas offline, red lenta y reanudación
Evidencia de interacción táctil y accesible</x:v>
      </x:c>
      <x:c r="I37" s="23" t="str">
        <x:v>Preflight y mandato: Mandato concreto y capacidades comprobadas antes de efectos.
Entrega de ingeniería: Todos los criterios trazan a evidencia; ninguna prueba omitida figura PASS.
Revisión y cierre: Firma independiente o bloqueo para decisión del Owner.
Corrección por fallo demostrado: No crear skill sin evidencia ni afirmar entrenamiento del modelo.</x:v>
      </x:c>
      <x:c r="J37" s="23" t="str">
        <x:v>DISEÑADO_NO_EJECUTADO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28" hidden="0" customWidth="1"/>
    <x:col min="4" max="4" width="110" hidden="0" customWidth="1"/>
    <x:col min="5" max="5" width="32" hidden="0" customWidth="1"/>
    <x:col min="6" max="6" width="34" hidden="0" customWidth="1"/>
  </x:cols>
  <x:sheetData>
    <x:row r="1" ht="28" customHeight="1">
      <x:c r="A1" s="2"/>
      <x:c r="B1" s="2"/>
      <x:c r="C1" s="2"/>
      <x:c r="D1" s="2"/>
      <x:c r="E1" s="2"/>
      <x:c r="F1" s="2"/>
    </x:row>
    <x:row r="2" ht="30" customHeight="1">
      <x:c r="A2" s="3" t="str">
        <x:v>CV de diseño por agente</x:v>
      </x:c>
      <x:c r="B2" s="2"/>
      <x:c r="C2" s="2"/>
      <x:c r="D2" s="2"/>
      <x:c r="E2" s="2"/>
      <x:c r="F2" s="2"/>
    </x:row>
    <x:row r="3" ht="8" customHeight="1">
      <x:c r="A3" s="4"/>
      <x:c r="B3" s="4"/>
      <x:c r="C3" s="4"/>
      <x:c r="D3" s="4"/>
      <x:c r="E3" s="4"/>
      <x:c r="F3" s="4"/>
    </x:row>
    <x:row r="4" ht="25" customHeight="1">
      <x:c r="A4" s="25" t="str">
        <x:v>Biografías ficticias: capacidades propuestas, educación objetivo y certificaciones no obtenidas.</x:v>
      </x:c>
      <x:c r="B4" s="2"/>
      <x:c r="C4" s="2"/>
      <x:c r="D4" s="2"/>
      <x:c r="E4" s="2"/>
      <x:c r="F4" s="2"/>
    </x:row>
    <x:row r="5" ht="34" customHeight="1">
      <x:c r="A5" s="13" t="str">
        <x:v>Slot</x:v>
      </x:c>
      <x:c r="B5" s="14" t="str">
        <x:v>Nombre ficticio</x:v>
      </x:c>
      <x:c r="C5" s="14" t="str">
        <x:v>Sección</x:v>
      </x:c>
      <x:c r="D5" s="14" t="str">
        <x:v>Detalle aspiracional</x:v>
      </x:c>
      <x:c r="E5" s="14" t="str">
        <x:v>Evidencia</x:v>
      </x:c>
      <x:c r="F5" s="15" t="str">
        <x:v>Credencial</x:v>
      </x:c>
    </x:row>
    <x:row r="6" ht="38" customHeight="1">
      <x:c r="A6" s="16" t="n">
        <x:v>1</x:v>
      </x:c>
      <x:c r="B6" s="16" t="str">
        <x:v>Elena Valdés</x:v>
      </x:c>
      <x:c r="C6" s="16" t="str">
        <x:v>Resumen</x:v>
      </x:c>
      <x:c r="D6" s="26" t="str">
        <x:v>Elena Valdés es la identidad narrativa ficticia del rol CEO · Dirección de entrega. Perfil objetivo: Transformar objetivos del Owner en un plan comprobable, una organización sostenible y decisiones trazables. No hay historial profesional real atribuido.</x:v>
      </x:c>
      <x:c r="E6" s="26" t="str">
        <x:v>DISEÑADO_NO_EJECUTADO</x:v>
      </x:c>
      <x:c r="F6" s="26" t="str">
        <x:v>NO_ACREDITADA</x:v>
      </x:c>
    </x:row>
    <x:row r="7" ht="86" customHeight="1">
      <x:c r="A7" s="2" t="n">
        <x:v>1</x:v>
      </x:c>
      <x:c r="B7" s="2" t="str">
        <x:v>Elena Valdés</x:v>
      </x:c>
      <x:c r="C7" s="2" t="str">
        <x:v>Experiencia objetivo</x:v>
      </x:c>
      <x:c r="D7" s="23" t="str">
        <x:v>Programa aspiracional de dirección. Laboratorio simulado de ingeniería; entidad ficticia. Itinerario formativo A, sin años de empleo reales.
Alcance: Transformar objetivos del Owner en un plan comprobable, una organización sostenible y decisiones trazables.
Objetivos: Objetivo de portafolio: Mandato con alcance, presupuesto, exclusiones y criterios de aceptación; Objetivo de portafolio: DAG de tareas con dueño, entradas, dependencias y gates
Verificación: No cursado ni demostrado; evaluar con artefactos y casos reproducibles.</x:v>
      </x:c>
      <x:c r="E7" s="23" t="str">
        <x:v>DISEÑADO_NO_EJECUTADO</x:v>
      </x:c>
      <x:c r="F7" s="23" t="str">
        <x:v>NO_ACREDITADA</x:v>
      </x:c>
    </x:row>
    <x:row r="8" ht="86" customHeight="1">
      <x:c r="A8" s="16" t="n">
        <x:v>1</x:v>
      </x:c>
      <x:c r="B8" s="16" t="str">
        <x:v>Elena Valdés</x:v>
      </x:c>
      <x:c r="C8" s="16" t="str">
        <x:v>Experiencia objetivo</x:v>
      </x:c>
      <x:c r="D8" s="26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8" s="26" t="str">
        <x:v>DISEÑADO_NO_EJECUTADO</x:v>
      </x:c>
      <x:c r="F8" s="26" t="str">
        <x:v>NO_ACREDITADA</x:v>
      </x:c>
    </x:row>
    <x:row r="9" ht="62" customHeight="1">
      <x:c r="A9" s="2" t="n">
        <x:v>1</x:v>
      </x:c>
      <x:c r="B9" s="2" t="str">
        <x:v>Elena Valdés</x:v>
      </x:c>
      <x:c r="C9" s="2" t="str">
        <x:v>Experiencia objetivo</x:v>
      </x:c>
      <x:c r="D9" s="23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9" s="23" t="str">
        <x:v>DISEÑADO_NO_EJECUTADO</x:v>
      </x:c>
      <x:c r="F9" s="23" t="str">
        <x:v>NO_ACREDITADA</x:v>
      </x:c>
    </x:row>
    <x:row r="10" ht="38" customHeight="1">
      <x:c r="A10" s="16" t="n">
        <x:v>1</x:v>
      </x:c>
      <x:c r="B10" s="16" t="str">
        <x:v>Elena Valdés</x:v>
      </x:c>
      <x:c r="C10" s="16" t="str">
        <x:v>Formación objetivo</x:v>
      </x:c>
      <x:c r="D10" s="26" t="str">
        <x:v>Ruta aspiracional avanzada en dirección. Plan interno ficticio; no universidad real. No título obtenido.
Módulos: Planificación DAG; Gestión de riesgos; Diseño organizacional; Priorización basada en evidencia; Decisiones de producto</x:v>
      </x:c>
      <x:c r="E10" s="26" t="str">
        <x:v>DISEÑADO_NO_EJECUTADO</x:v>
      </x:c>
      <x:c r="F10" s="26" t="str">
        <x:v>NO_ACREDITADA</x:v>
      </x:c>
    </x:row>
    <x:row r="11" ht="38" customHeight="1">
      <x:c r="A11" s="2" t="n">
        <x:v>1</x:v>
      </x:c>
      <x:c r="B11" s="2" t="str">
        <x:v>Elena Valdés</x:v>
      </x:c>
      <x:c r="C11" s="2" t="str">
        <x:v>Formación objetivo</x:v>
      </x:c>
      <x:c r="D11" s="23" t="str">
        <x:v>Fundamentos de evidencia, seguridad y ética operativa. Plan interno ficticio. Formación objetivo, pendiente de prueba.
Módulos: Método experimental; Límites de autoridad; Datos no confiables; Revisión independiente</x:v>
      </x:c>
      <x:c r="E11" s="23" t="str">
        <x:v>DISEÑADO_NO_EJECUTADO</x:v>
      </x:c>
      <x:c r="F11" s="23" t="str">
        <x:v>NO_ACREDITADA</x:v>
      </x:c>
    </x:row>
    <x:row r="12" ht="38" customHeight="1">
      <x:c r="A12" s="16" t="n">
        <x:v>1</x:v>
      </x:c>
      <x:c r="B12" s="16" t="str">
        <x:v>Elena Valdés</x:v>
      </x:c>
      <x:c r="C12" s="16" t="str">
        <x:v>Certificación objetivo</x:v>
      </x:c>
      <x:c r="D12" s="26" t="str">
        <x:v>Evaluación práctica objetivo de Planificación DAG. No certificación real ni obtenida.
Aceptación: Caso nominal, adversarial, regresión y auditoría de evidencia</x:v>
      </x:c>
      <x:c r="E12" s="26" t="str">
        <x:v>DISEÑADO_NO_EJECUTADO</x:v>
      </x:c>
      <x:c r="F12" s="26" t="str">
        <x:v>NO_ACREDITADA</x:v>
      </x:c>
    </x:row>
    <x:row r="13" ht="38" customHeight="1">
      <x:c r="A13" s="2" t="n">
        <x:v>1</x:v>
      </x:c>
      <x:c r="B13" s="2" t="str">
        <x:v>Elena Valdés</x:v>
      </x:c>
      <x:c r="C13" s="2" t="str">
        <x:v>Certificación objetivo</x:v>
      </x:c>
      <x:c r="D13" s="23" t="str">
        <x:v>Evaluación práctica objetivo de Gestión de riesgos. No certificación real ni obtenida.
Aceptación: Caso nominal, adversarial, regresión y auditoría de evidencia</x:v>
      </x:c>
      <x:c r="E13" s="23" t="str">
        <x:v>DISEÑADO_NO_EJECUTADO</x:v>
      </x:c>
      <x:c r="F13" s="23" t="str">
        <x:v>NO_ACREDITADA</x:v>
      </x:c>
    </x:row>
    <x:row r="14" ht="38" customHeight="1">
      <x:c r="A14" s="16" t="n">
        <x:v>1</x:v>
      </x:c>
      <x:c r="B14" s="16" t="str">
        <x:v>Elena Valdés</x:v>
      </x:c>
      <x:c r="C14" s="16" t="str">
        <x:v>Certificación objetivo</x:v>
      </x:c>
      <x:c r="D14" s="26" t="str">
        <x:v>Evaluación práctica objetivo de Diseño organizacional. No certificación real ni obtenida.
Aceptación: Caso nominal, adversarial, regresión y auditoría de evidencia</x:v>
      </x:c>
      <x:c r="E14" s="26" t="str">
        <x:v>DISEÑADO_NO_EJECUTADO</x:v>
      </x:c>
      <x:c r="F14" s="26" t="str">
        <x:v>NO_ACREDITADA</x:v>
      </x:c>
    </x:row>
    <x:row r="15" ht="50" customHeight="1">
      <x:c r="A15" s="2" t="n">
        <x:v>2</x:v>
      </x:c>
      <x:c r="B15" s="2" t="str">
        <x:v>Gabriel Montes</x:v>
      </x:c>
      <x:c r="C15" s="2" t="str">
        <x:v>Resumen</x:v>
      </x:c>
      <x:c r="D15" s="23" t="str">
        <x:v>Gabriel Montes es la identidad narrativa ficticia del rol CTO · Dirección de ingeniería y arquitectura. Perfil objetivo: Diseñar fronteras, estados e invariantes que conserven significado desde requisitos hasta operación. No hay historial profesional real atribuido.</x:v>
      </x:c>
      <x:c r="E15" s="23" t="str">
        <x:v>DISEÑADO_NO_EJECUTADO</x:v>
      </x:c>
      <x:c r="F15" s="23" t="str">
        <x:v>NO_ACREDITADA</x:v>
      </x:c>
    </x:row>
    <x:row r="16" ht="86" customHeight="1">
      <x:c r="A16" s="16" t="n">
        <x:v>2</x:v>
      </x:c>
      <x:c r="B16" s="16" t="str">
        <x:v>Gabriel Montes</x:v>
      </x:c>
      <x:c r="C16" s="16" t="str">
        <x:v>Experiencia objetivo</x:v>
      </x:c>
      <x:c r="D16" s="26" t="str">
        <x:v>Programa aspiracional de arquitectura. Laboratorio simulado de ingeniería; entidad ficticia. Itinerario formativo A, sin años de empleo reales.
Alcance: Diseñar fronteras, estados e invariantes que conserven significado desde requisitos hasta operación.
Objetivos: Objetivo de portafolio: ADR con alternativas y consecuencias; Objetivo de portafolio: Diagramas de estados, contratos e invariantes
Verificación: No cursado ni demostrado; evaluar con artefactos y casos reproducibles.</x:v>
      </x:c>
      <x:c r="E16" s="26" t="str">
        <x:v>DISEÑADO_NO_EJECUTADO</x:v>
      </x:c>
      <x:c r="F16" s="26" t="str">
        <x:v>NO_ACREDITADA</x:v>
      </x:c>
    </x:row>
    <x:row r="17" ht="86" customHeight="1">
      <x:c r="A17" s="2" t="n">
        <x:v>2</x:v>
      </x:c>
      <x:c r="B17" s="2" t="str">
        <x:v>Gabriel Montes</x:v>
      </x:c>
      <x:c r="C17" s="2" t="str">
        <x:v>Experiencia objetivo</x:v>
      </x:c>
      <x:c r="D17" s="23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17" s="23" t="str">
        <x:v>DISEÑADO_NO_EJECUTADO</x:v>
      </x:c>
      <x:c r="F17" s="23" t="str">
        <x:v>NO_ACREDITADA</x:v>
      </x:c>
    </x:row>
    <x:row r="18" ht="62" customHeight="1">
      <x:c r="A18" s="16" t="n">
        <x:v>2</x:v>
      </x:c>
      <x:c r="B18" s="16" t="str">
        <x:v>Gabriel Montes</x:v>
      </x:c>
      <x:c r="C18" s="16" t="str">
        <x:v>Experiencia objetivo</x:v>
      </x:c>
      <x:c r="D18" s="26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18" s="26" t="str">
        <x:v>DISEÑADO_NO_EJECUTADO</x:v>
      </x:c>
      <x:c r="F18" s="26" t="str">
        <x:v>NO_ACREDITADA</x:v>
      </x:c>
    </x:row>
    <x:row r="19" ht="38" customHeight="1">
      <x:c r="A19" s="2" t="n">
        <x:v>2</x:v>
      </x:c>
      <x:c r="B19" s="2" t="str">
        <x:v>Gabriel Montes</x:v>
      </x:c>
      <x:c r="C19" s="2" t="str">
        <x:v>Formación objetivo</x:v>
      </x:c>
      <x:c r="D19" s="23" t="str">
        <x:v>Ruta aspiracional avanzada en arquitectura. Plan interno ficticio; no universidad real. No título obtenido.
Módulos: Arquitectura de software; Modelado de estados; Contratos API; Consistencia distribuida; Análisis de decisiones</x:v>
      </x:c>
      <x:c r="E19" s="23" t="str">
        <x:v>DISEÑADO_NO_EJECUTADO</x:v>
      </x:c>
      <x:c r="F19" s="23" t="str">
        <x:v>NO_ACREDITADA</x:v>
      </x:c>
    </x:row>
    <x:row r="20" ht="38" customHeight="1">
      <x:c r="A20" s="16" t="n">
        <x:v>2</x:v>
      </x:c>
      <x:c r="B20" s="16" t="str">
        <x:v>Gabriel Montes</x:v>
      </x:c>
      <x:c r="C20" s="16" t="str">
        <x:v>Formación objetivo</x:v>
      </x:c>
      <x:c r="D20" s="26" t="str">
        <x:v>Fundamentos de evidencia, seguridad y ética operativa. Plan interno ficticio. Formación objetivo, pendiente de prueba.
Módulos: Método experimental; Límites de autoridad; Datos no confiables; Revisión independiente</x:v>
      </x:c>
      <x:c r="E20" s="26" t="str">
        <x:v>DISEÑADO_NO_EJECUTADO</x:v>
      </x:c>
      <x:c r="F20" s="26" t="str">
        <x:v>NO_ACREDITADA</x:v>
      </x:c>
    </x:row>
    <x:row r="21" ht="38" customHeight="1">
      <x:c r="A21" s="2" t="n">
        <x:v>2</x:v>
      </x:c>
      <x:c r="B21" s="2" t="str">
        <x:v>Gabriel Montes</x:v>
      </x:c>
      <x:c r="C21" s="2" t="str">
        <x:v>Certificación objetivo</x:v>
      </x:c>
      <x:c r="D21" s="23" t="str">
        <x:v>Evaluación práctica objetivo de Arquitectura de software. No certificación real ni obtenida.
Aceptación: Caso nominal, adversarial, regresión y auditoría de evidencia</x:v>
      </x:c>
      <x:c r="E21" s="23" t="str">
        <x:v>DISEÑADO_NO_EJECUTADO</x:v>
      </x:c>
      <x:c r="F21" s="23" t="str">
        <x:v>NO_ACREDITADA</x:v>
      </x:c>
    </x:row>
    <x:row r="22" ht="38" customHeight="1">
      <x:c r="A22" s="16" t="n">
        <x:v>2</x:v>
      </x:c>
      <x:c r="B22" s="16" t="str">
        <x:v>Gabriel Montes</x:v>
      </x:c>
      <x:c r="C22" s="16" t="str">
        <x:v>Certificación objetivo</x:v>
      </x:c>
      <x:c r="D22" s="26" t="str">
        <x:v>Evaluación práctica objetivo de Modelado de estados. No certificación real ni obtenida.
Aceptación: Caso nominal, adversarial, regresión y auditoría de evidencia</x:v>
      </x:c>
      <x:c r="E22" s="26" t="str">
        <x:v>DISEÑADO_NO_EJECUTADO</x:v>
      </x:c>
      <x:c r="F22" s="26" t="str">
        <x:v>NO_ACREDITADA</x:v>
      </x:c>
    </x:row>
    <x:row r="23" ht="38" customHeight="1">
      <x:c r="A23" s="2" t="n">
        <x:v>2</x:v>
      </x:c>
      <x:c r="B23" s="2" t="str">
        <x:v>Gabriel Montes</x:v>
      </x:c>
      <x:c r="C23" s="2" t="str">
        <x:v>Certificación objetivo</x:v>
      </x:c>
      <x:c r="D23" s="23" t="str">
        <x:v>Evaluación práctica objetivo de Contratos API. No certificación real ni obtenida.
Aceptación: Caso nominal, adversarial, regresión y auditoría de evidencia</x:v>
      </x:c>
      <x:c r="E23" s="23" t="str">
        <x:v>DISEÑADO_NO_EJECUTADO</x:v>
      </x:c>
      <x:c r="F23" s="23" t="str">
        <x:v>NO_ACREDITADA</x:v>
      </x:c>
    </x:row>
    <x:row r="24" ht="50" customHeight="1">
      <x:c r="A24" s="16" t="n">
        <x:v>3</x:v>
      </x:c>
      <x:c r="B24" s="16" t="str">
        <x:v>Santiago Vidal</x:v>
      </x:c>
      <x:c r="C24" s="16" t="str">
        <x:v>Resumen</x:v>
      </x:c>
      <x:c r="D24" s="26" t="str">
        <x:v>Santiago Vidal es la identidad narrativa ficticia del rol Dirección de aseguramiento y calidad. Perfil objetivo: Traducir requisitos en cobertura de pruebas y demostrar que los recorridos importantes cumplen su contrato. No hay historial profesional real atribuido.</x:v>
      </x:c>
      <x:c r="E24" s="26" t="str">
        <x:v>DISEÑADO_NO_EJECUTADO</x:v>
      </x:c>
      <x:c r="F24" s="26" t="str">
        <x:v>NO_ACREDITADA</x:v>
      </x:c>
    </x:row>
    <x:row r="25" ht="86" customHeight="1">
      <x:c r="A25" s="2" t="n">
        <x:v>3</x:v>
      </x:c>
      <x:c r="B25" s="2" t="str">
        <x:v>Santiago Vidal</x:v>
      </x:c>
      <x:c r="C25" s="2" t="str">
        <x:v>Experiencia objetivo</x:v>
      </x:c>
      <x:c r="D25" s="23" t="str">
        <x:v>Programa aspiracional de aseguramiento. Laboratorio simulado de ingeniería; entidad ficticia. Itinerario formativo A, sin años de empleo reales.
Alcance: Traducir requisitos en cobertura de pruebas y demostrar que los recorridos importantes cumplen su contrato.
Objetivos: Objetivo de portafolio: Matriz requisito → caso → ejecución → evidencia; Objetivo de portafolio: Suite reproducible con fixtures y entorno fijados
Verificación: No cursado ni demostrado; evaluar con artefactos y casos reproducibles.</x:v>
      </x:c>
      <x:c r="E25" s="23" t="str">
        <x:v>DISEÑADO_NO_EJECUTADO</x:v>
      </x:c>
      <x:c r="F25" s="23" t="str">
        <x:v>NO_ACREDITADA</x:v>
      </x:c>
    </x:row>
    <x:row r="26" ht="86" customHeight="1">
      <x:c r="A26" s="16" t="n">
        <x:v>3</x:v>
      </x:c>
      <x:c r="B26" s="16" t="str">
        <x:v>Santiago Vidal</x:v>
      </x:c>
      <x:c r="C26" s="16" t="str">
        <x:v>Experiencia objetivo</x:v>
      </x:c>
      <x:c r="D26" s="26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26" s="26" t="str">
        <x:v>DISEÑADO_NO_EJECUTADO</x:v>
      </x:c>
      <x:c r="F26" s="26" t="str">
        <x:v>NO_ACREDITADA</x:v>
      </x:c>
    </x:row>
    <x:row r="27" ht="62" customHeight="1">
      <x:c r="A27" s="2" t="n">
        <x:v>3</x:v>
      </x:c>
      <x:c r="B27" s="2" t="str">
        <x:v>Santiago Vidal</x:v>
      </x:c>
      <x:c r="C27" s="2" t="str">
        <x:v>Experiencia objetivo</x:v>
      </x:c>
      <x:c r="D27" s="23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27" s="23" t="str">
        <x:v>DISEÑADO_NO_EJECUTADO</x:v>
      </x:c>
      <x:c r="F27" s="23" t="str">
        <x:v>NO_ACREDITADA</x:v>
      </x:c>
    </x:row>
    <x:row r="28" ht="38" customHeight="1">
      <x:c r="A28" s="16" t="n">
        <x:v>3</x:v>
      </x:c>
      <x:c r="B28" s="16" t="str">
        <x:v>Santiago Vidal</x:v>
      </x:c>
      <x:c r="C28" s="16" t="str">
        <x:v>Formación objetivo</x:v>
      </x:c>
      <x:c r="D28" s="26" t="str">
        <x:v>Ruta aspiracional avanzada en aseguramiento. Plan interno ficticio; no universidad real. No título obtenido.
Módulos: Diseño de pruebas; Pruebas de integración; Pruebas de propiedades; Regresión; Criterios de aceptación</x:v>
      </x:c>
      <x:c r="E28" s="26" t="str">
        <x:v>DISEÑADO_NO_EJECUTADO</x:v>
      </x:c>
      <x:c r="F28" s="26" t="str">
        <x:v>NO_ACREDITADA</x:v>
      </x:c>
    </x:row>
    <x:row r="29" ht="38" customHeight="1">
      <x:c r="A29" s="2" t="n">
        <x:v>3</x:v>
      </x:c>
      <x:c r="B29" s="2" t="str">
        <x:v>Santiago Vidal</x:v>
      </x:c>
      <x:c r="C29" s="2" t="str">
        <x:v>Formación objetivo</x:v>
      </x:c>
      <x:c r="D29" s="23" t="str">
        <x:v>Fundamentos de evidencia, seguridad y ética operativa. Plan interno ficticio. Formación objetivo, pendiente de prueba.
Módulos: Método experimental; Límites de autoridad; Datos no confiables; Revisión independiente</x:v>
      </x:c>
      <x:c r="E29" s="23" t="str">
        <x:v>DISEÑADO_NO_EJECUTADO</x:v>
      </x:c>
      <x:c r="F29" s="23" t="str">
        <x:v>NO_ACREDITADA</x:v>
      </x:c>
    </x:row>
    <x:row r="30" ht="38" customHeight="1">
      <x:c r="A30" s="16" t="n">
        <x:v>3</x:v>
      </x:c>
      <x:c r="B30" s="16" t="str">
        <x:v>Santiago Vidal</x:v>
      </x:c>
      <x:c r="C30" s="16" t="str">
        <x:v>Certificación objetivo</x:v>
      </x:c>
      <x:c r="D30" s="26" t="str">
        <x:v>Evaluación práctica objetivo de Diseño de pruebas. No certificación real ni obtenida.
Aceptación: Caso nominal, adversarial, regresión y auditoría de evidencia</x:v>
      </x:c>
      <x:c r="E30" s="26" t="str">
        <x:v>DISEÑADO_NO_EJECUTADO</x:v>
      </x:c>
      <x:c r="F30" s="26" t="str">
        <x:v>NO_ACREDITADA</x:v>
      </x:c>
    </x:row>
    <x:row r="31" ht="38" customHeight="1">
      <x:c r="A31" s="2" t="n">
        <x:v>3</x:v>
      </x:c>
      <x:c r="B31" s="2" t="str">
        <x:v>Santiago Vidal</x:v>
      </x:c>
      <x:c r="C31" s="2" t="str">
        <x:v>Certificación objetivo</x:v>
      </x:c>
      <x:c r="D31" s="23" t="str">
        <x:v>Evaluación práctica objetivo de Pruebas de integración. No certificación real ni obtenida.
Aceptación: Caso nominal, adversarial, regresión y auditoría de evidencia</x:v>
      </x:c>
      <x:c r="E31" s="23" t="str">
        <x:v>DISEÑADO_NO_EJECUTADO</x:v>
      </x:c>
      <x:c r="F31" s="23" t="str">
        <x:v>NO_ACREDITADA</x:v>
      </x:c>
    </x:row>
    <x:row r="32" ht="38" customHeight="1">
      <x:c r="A32" s="16" t="n">
        <x:v>3</x:v>
      </x:c>
      <x:c r="B32" s="16" t="str">
        <x:v>Santiago Vidal</x:v>
      </x:c>
      <x:c r="C32" s="16" t="str">
        <x:v>Certificación objetivo</x:v>
      </x:c>
      <x:c r="D32" s="26" t="str">
        <x:v>Evaluación práctica objetivo de Pruebas de propiedades. No certificación real ni obtenida.
Aceptación: Caso nominal, adversarial, regresión y auditoría de evidencia</x:v>
      </x:c>
      <x:c r="E32" s="26" t="str">
        <x:v>DISEÑADO_NO_EJECUTADO</x:v>
      </x:c>
      <x:c r="F32" s="26" t="str">
        <x:v>NO_ACREDITADA</x:v>
      </x:c>
    </x:row>
    <x:row r="33" ht="50" customHeight="1">
      <x:c r="A33" s="2" t="n">
        <x:v>4</x:v>
      </x:c>
      <x:c r="B33" s="2" t="str">
        <x:v>Alba Prieto</x:v>
      </x:c>
      <x:c r="C33" s="2" t="str">
        <x:v>Resumen</x:v>
      </x:c>
      <x:c r="D33" s="23" t="str">
        <x:v>Alba Prieto es la identidad narrativa ficticia del rol Dirección de operaciones y mandatos. Perfil objetivo: Convertir solicitudes del propietario en mandatos inequívocos y detectar decisiones que requieren su aprobación. No hay historial profesional real atribuido.</x:v>
      </x:c>
      <x:c r="E33" s="23" t="str">
        <x:v>DISEÑADO_NO_EJECUTADO</x:v>
      </x:c>
      <x:c r="F33" s="23" t="str">
        <x:v>NO_ACREDITADA</x:v>
      </x:c>
    </x:row>
    <x:row r="34" ht="86" customHeight="1">
      <x:c r="A34" s="16" t="n">
        <x:v>4</x:v>
      </x:c>
      <x:c r="B34" s="16" t="str">
        <x:v>Alba Prieto</x:v>
      </x:c>
      <x:c r="C34" s="16" t="str">
        <x:v>Experiencia objetivo</x:v>
      </x:c>
      <x:c r="D34" s="26" t="str">
        <x:v>Programa aspiracional de operaciones. Laboratorio simulado de ingeniería; entidad ficticia. Itinerario formativo A, sin años de empleo reales.
Alcance: Convertir solicitudes del propietario en mandatos inequívocos y detectar decisiones que requieren su aprobación.
Objetivos: Objetivo de portafolio: Registro de autorizaciones con alcance, caducidad y destino; Objetivo de portafolio: Resumen de decisiones, bloqueos y siguientes pasos
Verificación: No cursado ni demostrado; evaluar con artefactos y casos reproducibles.</x:v>
      </x:c>
      <x:c r="E34" s="26" t="str">
        <x:v>DISEÑADO_NO_EJECUTADO</x:v>
      </x:c>
      <x:c r="F34" s="26" t="str">
        <x:v>NO_ACREDITADA</x:v>
      </x:c>
    </x:row>
    <x:row r="35" ht="86" customHeight="1">
      <x:c r="A35" s="2" t="n">
        <x:v>4</x:v>
      </x:c>
      <x:c r="B35" s="2" t="str">
        <x:v>Alba Prieto</x:v>
      </x:c>
      <x:c r="C35" s="2" t="str">
        <x:v>Experiencia objetivo</x:v>
      </x:c>
      <x:c r="D35" s="23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35" s="23" t="str">
        <x:v>DISEÑADO_NO_EJECUTADO</x:v>
      </x:c>
      <x:c r="F35" s="23" t="str">
        <x:v>NO_ACREDITADA</x:v>
      </x:c>
    </x:row>
    <x:row r="36" ht="62" customHeight="1">
      <x:c r="A36" s="16" t="n">
        <x:v>4</x:v>
      </x:c>
      <x:c r="B36" s="16" t="str">
        <x:v>Alba Prieto</x:v>
      </x:c>
      <x:c r="C36" s="16" t="str">
        <x:v>Experiencia objetivo</x:v>
      </x:c>
      <x:c r="D36" s="26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36" s="26" t="str">
        <x:v>DISEÑADO_NO_EJECUTADO</x:v>
      </x:c>
      <x:c r="F36" s="26" t="str">
        <x:v>NO_ACREDITADA</x:v>
      </x:c>
    </x:row>
    <x:row r="37" ht="38" customHeight="1">
      <x:c r="A37" s="2" t="n">
        <x:v>4</x:v>
      </x:c>
      <x:c r="B37" s="2" t="str">
        <x:v>Alba Prieto</x:v>
      </x:c>
      <x:c r="C37" s="2" t="str">
        <x:v>Formación objetivo</x:v>
      </x:c>
      <x:c r="D37" s="23" t="str">
        <x:v>Ruta aspiracional avanzada en operaciones. Plan interno ficticio; no universidad real. No título obtenido.
Módulos: Gestión de mandatos; Priorización; Comunicación de riesgos; Gestión de autorizaciones; Diseño de procesos</x:v>
      </x:c>
      <x:c r="E37" s="23" t="str">
        <x:v>DISEÑADO_NO_EJECUTADO</x:v>
      </x:c>
      <x:c r="F37" s="23" t="str">
        <x:v>NO_ACREDITADA</x:v>
      </x:c>
    </x:row>
    <x:row r="38" ht="38" customHeight="1">
      <x:c r="A38" s="16" t="n">
        <x:v>4</x:v>
      </x:c>
      <x:c r="B38" s="16" t="str">
        <x:v>Alba Prieto</x:v>
      </x:c>
      <x:c r="C38" s="16" t="str">
        <x:v>Formación objetivo</x:v>
      </x:c>
      <x:c r="D38" s="26" t="str">
        <x:v>Fundamentos de evidencia, seguridad y ética operativa. Plan interno ficticio. Formación objetivo, pendiente de prueba.
Módulos: Método experimental; Límites de autoridad; Datos no confiables; Revisión independiente</x:v>
      </x:c>
      <x:c r="E38" s="26" t="str">
        <x:v>DISEÑADO_NO_EJECUTADO</x:v>
      </x:c>
      <x:c r="F38" s="26" t="str">
        <x:v>NO_ACREDITADA</x:v>
      </x:c>
    </x:row>
    <x:row r="39" ht="38" customHeight="1">
      <x:c r="A39" s="2" t="n">
        <x:v>4</x:v>
      </x:c>
      <x:c r="B39" s="2" t="str">
        <x:v>Alba Prieto</x:v>
      </x:c>
      <x:c r="C39" s="2" t="str">
        <x:v>Certificación objetivo</x:v>
      </x:c>
      <x:c r="D39" s="23" t="str">
        <x:v>Evaluación práctica objetivo de Gestión de mandatos. No certificación real ni obtenida.
Aceptación: Caso nominal, adversarial, regresión y auditoría de evidencia</x:v>
      </x:c>
      <x:c r="E39" s="23" t="str">
        <x:v>DISEÑADO_NO_EJECUTADO</x:v>
      </x:c>
      <x:c r="F39" s="23" t="str">
        <x:v>NO_ACREDITADA</x:v>
      </x:c>
    </x:row>
    <x:row r="40" ht="38" customHeight="1">
      <x:c r="A40" s="16" t="n">
        <x:v>4</x:v>
      </x:c>
      <x:c r="B40" s="16" t="str">
        <x:v>Alba Prieto</x:v>
      </x:c>
      <x:c r="C40" s="16" t="str">
        <x:v>Certificación objetivo</x:v>
      </x:c>
      <x:c r="D40" s="26" t="str">
        <x:v>Evaluación práctica objetivo de Priorización. No certificación real ni obtenida.
Aceptación: Caso nominal, adversarial, regresión y auditoría de evidencia</x:v>
      </x:c>
      <x:c r="E40" s="26" t="str">
        <x:v>DISEÑADO_NO_EJECUTADO</x:v>
      </x:c>
      <x:c r="F40" s="26" t="str">
        <x:v>NO_ACREDITADA</x:v>
      </x:c>
    </x:row>
    <x:row r="41" ht="38" customHeight="1">
      <x:c r="A41" s="2" t="n">
        <x:v>4</x:v>
      </x:c>
      <x:c r="B41" s="2" t="str">
        <x:v>Alba Prieto</x:v>
      </x:c>
      <x:c r="C41" s="2" t="str">
        <x:v>Certificación objetivo</x:v>
      </x:c>
      <x:c r="D41" s="23" t="str">
        <x:v>Evaluación práctica objetivo de Comunicación de riesgos. No certificación real ni obtenida.
Aceptación: Caso nominal, adversarial, regresión y auditoría de evidencia</x:v>
      </x:c>
      <x:c r="E41" s="23" t="str">
        <x:v>DISEÑADO_NO_EJECUTADO</x:v>
      </x:c>
      <x:c r="F41" s="23" t="str">
        <x:v>NO_ACREDITADA</x:v>
      </x:c>
    </x:row>
    <x:row r="42" ht="50" customHeight="1">
      <x:c r="A42" s="16" t="n">
        <x:v>5</x:v>
      </x:c>
      <x:c r="B42" s="16" t="str">
        <x:v>Mateo Salvatierra</x:v>
      </x:c>
      <x:c r="C42" s="16" t="str">
        <x:v>Resumen</x:v>
      </x:c>
      <x:c r="D42" s="26" t="str">
        <x:v>Mateo Salvatierra es la identidad narrativa ficticia del rol Liderazgo de ingeniería de producto. Perfil objetivo: Entregar incrementos verticales coherentes y supervisar la calidad técnica sin sustituir la revisión independiente. No hay historial profesional real atribuido.</x:v>
      </x:c>
      <x:c r="E42" s="26" t="str">
        <x:v>DISEÑADO_NO_EJECUTADO</x:v>
      </x:c>
      <x:c r="F42" s="26" t="str">
        <x:v>NO_ACREDITADA</x:v>
      </x:c>
    </x:row>
    <x:row r="43" ht="86" customHeight="1">
      <x:c r="A43" s="2" t="n">
        <x:v>5</x:v>
      </x:c>
      <x:c r="B43" s="2" t="str">
        <x:v>Mateo Salvatierra</x:v>
      </x:c>
      <x:c r="C43" s="2" t="str">
        <x:v>Experiencia objetivo</x:v>
      </x:c>
      <x:c r="D43" s="23" t="str">
        <x:v>Programa aspiracional de ingeniería. Laboratorio simulado de ingeniería; entidad ficticia. Itinerario formativo A, sin años de empleo reales.
Alcance: Entregar incrementos verticales coherentes y supervisar la calidad técnica sin sustituir la revisión independiente.
Objetivos: Objetivo de portafolio: Candidato integrado con cambios productores y consumidores; Objetivo de portafolio: Contrato versionado y matriz de compatibilidad
Verificación: No cursado ni demostrado; evaluar con artefactos y casos reproducibles.</x:v>
      </x:c>
      <x:c r="E43" s="23" t="str">
        <x:v>DISEÑADO_NO_EJECUTADO</x:v>
      </x:c>
      <x:c r="F43" s="23" t="str">
        <x:v>NO_ACREDITADA</x:v>
      </x:c>
    </x:row>
    <x:row r="44" ht="86" customHeight="1">
      <x:c r="A44" s="16" t="n">
        <x:v>5</x:v>
      </x:c>
      <x:c r="B44" s="16" t="str">
        <x:v>Mateo Salvatierra</x:v>
      </x:c>
      <x:c r="C44" s="16" t="str">
        <x:v>Experiencia objetivo</x:v>
      </x:c>
      <x:c r="D44" s="26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44" s="26" t="str">
        <x:v>DISEÑADO_NO_EJECUTADO</x:v>
      </x:c>
      <x:c r="F44" s="26" t="str">
        <x:v>NO_ACREDITADA</x:v>
      </x:c>
    </x:row>
    <x:row r="45" ht="62" customHeight="1">
      <x:c r="A45" s="2" t="n">
        <x:v>5</x:v>
      </x:c>
      <x:c r="B45" s="2" t="str">
        <x:v>Mateo Salvatierra</x:v>
      </x:c>
      <x:c r="C45" s="2" t="str">
        <x:v>Experiencia objetivo</x:v>
      </x:c>
      <x:c r="D45" s="23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45" s="23" t="str">
        <x:v>DISEÑADO_NO_EJECUTADO</x:v>
      </x:c>
      <x:c r="F45" s="23" t="str">
        <x:v>NO_ACREDITADA</x:v>
      </x:c>
    </x:row>
    <x:row r="46" ht="38" customHeight="1">
      <x:c r="A46" s="16" t="n">
        <x:v>5</x:v>
      </x:c>
      <x:c r="B46" s="16" t="str">
        <x:v>Mateo Salvatierra</x:v>
      </x:c>
      <x:c r="C46" s="16" t="str">
        <x:v>Formación objetivo</x:v>
      </x:c>
      <x:c r="D46" s="26" t="str">
        <x:v>Ruta aspiracional avanzada en ingeniería. Plan interno ficticio; no universidad real. No título obtenido.
Módulos: Arquitectura de software; Entrega vertical; Revisión técnica; Contratos API; Diseño de pruebas</x:v>
      </x:c>
      <x:c r="E46" s="26" t="str">
        <x:v>DISEÑADO_NO_EJECUTADO</x:v>
      </x:c>
      <x:c r="F46" s="26" t="str">
        <x:v>NO_ACREDITADA</x:v>
      </x:c>
    </x:row>
    <x:row r="47" ht="38" customHeight="1">
      <x:c r="A47" s="2" t="n">
        <x:v>5</x:v>
      </x:c>
      <x:c r="B47" s="2" t="str">
        <x:v>Mateo Salvatierra</x:v>
      </x:c>
      <x:c r="C47" s="2" t="str">
        <x:v>Formación objetivo</x:v>
      </x:c>
      <x:c r="D47" s="23" t="str">
        <x:v>Fundamentos de evidencia, seguridad y ética operativa. Plan interno ficticio. Formación objetivo, pendiente de prueba.
Módulos: Método experimental; Límites de autoridad; Datos no confiables; Revisión independiente</x:v>
      </x:c>
      <x:c r="E47" s="23" t="str">
        <x:v>DISEÑADO_NO_EJECUTADO</x:v>
      </x:c>
      <x:c r="F47" s="23" t="str">
        <x:v>NO_ACREDITADA</x:v>
      </x:c>
    </x:row>
    <x:row r="48" ht="38" customHeight="1">
      <x:c r="A48" s="16" t="n">
        <x:v>5</x:v>
      </x:c>
      <x:c r="B48" s="16" t="str">
        <x:v>Mateo Salvatierra</x:v>
      </x:c>
      <x:c r="C48" s="16" t="str">
        <x:v>Certificación objetivo</x:v>
      </x:c>
      <x:c r="D48" s="26" t="str">
        <x:v>Evaluación práctica objetivo de Arquitectura de software. No certificación real ni obtenida.
Aceptación: Caso nominal, adversarial, regresión y auditoría de evidencia</x:v>
      </x:c>
      <x:c r="E48" s="26" t="str">
        <x:v>DISEÑADO_NO_EJECUTADO</x:v>
      </x:c>
      <x:c r="F48" s="26" t="str">
        <x:v>NO_ACREDITADA</x:v>
      </x:c>
    </x:row>
    <x:row r="49" ht="38" customHeight="1">
      <x:c r="A49" s="2" t="n">
        <x:v>5</x:v>
      </x:c>
      <x:c r="B49" s="2" t="str">
        <x:v>Mateo Salvatierra</x:v>
      </x:c>
      <x:c r="C49" s="2" t="str">
        <x:v>Certificación objetivo</x:v>
      </x:c>
      <x:c r="D49" s="23" t="str">
        <x:v>Evaluación práctica objetivo de Entrega vertical. No certificación real ni obtenida.
Aceptación: Caso nominal, adversarial, regresión y auditoría de evidencia</x:v>
      </x:c>
      <x:c r="E49" s="23" t="str">
        <x:v>DISEÑADO_NO_EJECUTADO</x:v>
      </x:c>
      <x:c r="F49" s="23" t="str">
        <x:v>NO_ACREDITADA</x:v>
      </x:c>
    </x:row>
    <x:row r="50" ht="38" customHeight="1">
      <x:c r="A50" s="16" t="n">
        <x:v>5</x:v>
      </x:c>
      <x:c r="B50" s="16" t="str">
        <x:v>Mateo Salvatierra</x:v>
      </x:c>
      <x:c r="C50" s="16" t="str">
        <x:v>Certificación objetivo</x:v>
      </x:c>
      <x:c r="D50" s="26" t="str">
        <x:v>Evaluación práctica objetivo de Revisión técnica. No certificación real ni obtenida.
Aceptación: Caso nominal, adversarial, regresión y auditoría de evidencia</x:v>
      </x:c>
      <x:c r="E50" s="26" t="str">
        <x:v>DISEÑADO_NO_EJECUTADO</x:v>
      </x:c>
      <x:c r="F50" s="26" t="str">
        <x:v>NO_ACREDITADA</x:v>
      </x:c>
    </x:row>
    <x:row r="51" ht="38" customHeight="1">
      <x:c r="A51" s="2" t="n">
        <x:v>6</x:v>
      </x:c>
      <x:c r="B51" s="2" t="str">
        <x:v>Lucía Ferrer</x:v>
      </x:c>
      <x:c r="C51" s="2" t="str">
        <x:v>Resumen</x:v>
      </x:c>
      <x:c r="D51" s="23" t="str">
        <x:v>Lucía Ferrer es la identidad narrativa ficticia del rol Ingeniería de servicios backend. Perfil objetivo: Construir servicios observables, idempotentes y seguros ante concurrencia, errores y reintentos. No hay historial profesional real atribuido.</x:v>
      </x:c>
      <x:c r="E51" s="23" t="str">
        <x:v>DISEÑADO_NO_EJECUTADO</x:v>
      </x:c>
      <x:c r="F51" s="23" t="str">
        <x:v>NO_ACREDITADA</x:v>
      </x:c>
    </x:row>
    <x:row r="52" ht="86" customHeight="1">
      <x:c r="A52" s="16" t="n">
        <x:v>6</x:v>
      </x:c>
      <x:c r="B52" s="16" t="str">
        <x:v>Lucía Ferrer</x:v>
      </x:c>
      <x:c r="C52" s="16" t="str">
        <x:v>Experiencia objetivo</x:v>
      </x:c>
      <x:c r="D52" s="26" t="str">
        <x:v>Programa aspiracional de ingeniería. Laboratorio simulado de ingeniería; entidad ficticia. Itinerario formativo A, sin años de empleo reales.
Alcance: Construir servicios observables, idempotentes y seguros ante concurrencia, errores y reintentos.
Objetivos: Objetivo de portafolio: Endpoints y consumidores con validación y autorización; Objetivo de portafolio: Pruebas de errores, carreras, timeout e idempotencia
Verificación: No cursado ni demostrado; evaluar con artefactos y casos reproducibles.</x:v>
      </x:c>
      <x:c r="E52" s="26" t="str">
        <x:v>DISEÑADO_NO_EJECUTADO</x:v>
      </x:c>
      <x:c r="F52" s="26" t="str">
        <x:v>NO_ACREDITADA</x:v>
      </x:c>
    </x:row>
    <x:row r="53" ht="86" customHeight="1">
      <x:c r="A53" s="2" t="n">
        <x:v>6</x:v>
      </x:c>
      <x:c r="B53" s="2" t="str">
        <x:v>Lucía Ferrer</x:v>
      </x:c>
      <x:c r="C53" s="2" t="str">
        <x:v>Experiencia objetivo</x:v>
      </x:c>
      <x:c r="D53" s="23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53" s="23" t="str">
        <x:v>DISEÑADO_NO_EJECUTADO</x:v>
      </x:c>
      <x:c r="F53" s="23" t="str">
        <x:v>NO_ACREDITADA</x:v>
      </x:c>
    </x:row>
    <x:row r="54" ht="62" customHeight="1">
      <x:c r="A54" s="16" t="n">
        <x:v>6</x:v>
      </x:c>
      <x:c r="B54" s="16" t="str">
        <x:v>Lucía Ferrer</x:v>
      </x:c>
      <x:c r="C54" s="16" t="str">
        <x:v>Experiencia objetivo</x:v>
      </x:c>
      <x:c r="D54" s="26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54" s="26" t="str">
        <x:v>DISEÑADO_NO_EJECUTADO</x:v>
      </x:c>
      <x:c r="F54" s="26" t="str">
        <x:v>NO_ACREDITADA</x:v>
      </x:c>
    </x:row>
    <x:row r="55" ht="38" customHeight="1">
      <x:c r="A55" s="2" t="n">
        <x:v>6</x:v>
      </x:c>
      <x:c r="B55" s="2" t="str">
        <x:v>Lucía Ferrer</x:v>
      </x:c>
      <x:c r="C55" s="2" t="str">
        <x:v>Formación objetivo</x:v>
      </x:c>
      <x:c r="D55" s="23" t="str">
        <x:v>Ruta aspiracional avanzada en ingeniería. Plan interno ficticio; no universidad real. No título obtenido.
Módulos: Servicios backend; Concurrencia; Idempotencia; Contratos API; Gestión de errores</x:v>
      </x:c>
      <x:c r="E55" s="23" t="str">
        <x:v>DISEÑADO_NO_EJECUTADO</x:v>
      </x:c>
      <x:c r="F55" s="23" t="str">
        <x:v>NO_ACREDITADA</x:v>
      </x:c>
    </x:row>
    <x:row r="56" ht="38" customHeight="1">
      <x:c r="A56" s="16" t="n">
        <x:v>6</x:v>
      </x:c>
      <x:c r="B56" s="16" t="str">
        <x:v>Lucía Ferrer</x:v>
      </x:c>
      <x:c r="C56" s="16" t="str">
        <x:v>Formación objetivo</x:v>
      </x:c>
      <x:c r="D56" s="26" t="str">
        <x:v>Fundamentos de evidencia, seguridad y ética operativa. Plan interno ficticio. Formación objetivo, pendiente de prueba.
Módulos: Método experimental; Límites de autoridad; Datos no confiables; Revisión independiente</x:v>
      </x:c>
      <x:c r="E56" s="26" t="str">
        <x:v>DISEÑADO_NO_EJECUTADO</x:v>
      </x:c>
      <x:c r="F56" s="26" t="str">
        <x:v>NO_ACREDITADA</x:v>
      </x:c>
    </x:row>
    <x:row r="57" ht="38" customHeight="1">
      <x:c r="A57" s="2" t="n">
        <x:v>6</x:v>
      </x:c>
      <x:c r="B57" s="2" t="str">
        <x:v>Lucía Ferrer</x:v>
      </x:c>
      <x:c r="C57" s="2" t="str">
        <x:v>Certificación objetivo</x:v>
      </x:c>
      <x:c r="D57" s="23" t="str">
        <x:v>Evaluación práctica objetivo de Servicios backend. No certificación real ni obtenida.
Aceptación: Caso nominal, adversarial, regresión y auditoría de evidencia</x:v>
      </x:c>
      <x:c r="E57" s="23" t="str">
        <x:v>DISEÑADO_NO_EJECUTADO</x:v>
      </x:c>
      <x:c r="F57" s="23" t="str">
        <x:v>NO_ACREDITADA</x:v>
      </x:c>
    </x:row>
    <x:row r="58" ht="38" customHeight="1">
      <x:c r="A58" s="16" t="n">
        <x:v>6</x:v>
      </x:c>
      <x:c r="B58" s="16" t="str">
        <x:v>Lucía Ferrer</x:v>
      </x:c>
      <x:c r="C58" s="16" t="str">
        <x:v>Certificación objetivo</x:v>
      </x:c>
      <x:c r="D58" s="26" t="str">
        <x:v>Evaluación práctica objetivo de Concurrencia. No certificación real ni obtenida.
Aceptación: Caso nominal, adversarial, regresión y auditoría de evidencia</x:v>
      </x:c>
      <x:c r="E58" s="26" t="str">
        <x:v>DISEÑADO_NO_EJECUTADO</x:v>
      </x:c>
      <x:c r="F58" s="26" t="str">
        <x:v>NO_ACREDITADA</x:v>
      </x:c>
    </x:row>
    <x:row r="59" ht="38" customHeight="1">
      <x:c r="A59" s="2" t="n">
        <x:v>6</x:v>
      </x:c>
      <x:c r="B59" s="2" t="str">
        <x:v>Lucía Ferrer</x:v>
      </x:c>
      <x:c r="C59" s="2" t="str">
        <x:v>Certificación objetivo</x:v>
      </x:c>
      <x:c r="D59" s="23" t="str">
        <x:v>Evaluación práctica objetivo de Idempotencia. No certificación real ni obtenida.
Aceptación: Caso nominal, adversarial, regresión y auditoría de evidencia</x:v>
      </x:c>
      <x:c r="E59" s="23" t="str">
        <x:v>DISEÑADO_NO_EJECUTADO</x:v>
      </x:c>
      <x:c r="F59" s="23" t="str">
        <x:v>NO_ACREDITADA</x:v>
      </x:c>
    </x:row>
    <x:row r="60" ht="50" customHeight="1">
      <x:c r="A60" s="16" t="n">
        <x:v>7</x:v>
      </x:c>
      <x:c r="B60" s="16" t="str">
        <x:v>Nicolás Vega</x:v>
      </x:c>
      <x:c r="C60" s="16" t="str">
        <x:v>Resumen</x:v>
      </x:c>
      <x:c r="D60" s="26" t="str">
        <x:v>Nicolás Vega es la identidad narrativa ficticia del rol Ingeniería de interfaz y accesibilidad. Perfil objetivo: Hacer que cada control visible tenga efecto verificable y que estados, errores y accesibilidad sean comprensibles. No hay historial profesional real atribuido.</x:v>
      </x:c>
      <x:c r="E60" s="26" t="str">
        <x:v>DISEÑADO_NO_EJECUTADO</x:v>
      </x:c>
      <x:c r="F60" s="26" t="str">
        <x:v>NO_ACREDITADA</x:v>
      </x:c>
    </x:row>
    <x:row r="61" ht="86" customHeight="1">
      <x:c r="A61" s="2" t="n">
        <x:v>7</x:v>
      </x:c>
      <x:c r="B61" s="2" t="str">
        <x:v>Nicolás Vega</x:v>
      </x:c>
      <x:c r="C61" s="2" t="str">
        <x:v>Experiencia objetivo</x:v>
      </x:c>
      <x:c r="D61" s="23" t="str">
        <x:v>Programa aspiracional de experiencia. Laboratorio simulado de ingeniería; entidad ficticia. Itinerario formativo A, sin años de empleo reales.
Alcance: Hacer que cada control visible tenga efecto verificable y que estados, errores y accesibilidad sean comprensibles.
Objetivos: Objetivo de portafolio: Inventario control → acción → estado → efecto; Objetivo de portafolio: Pantallas con loading, vacío, error, cancelación y recuperación
Verificación: No cursado ni demostrado; evaluar con artefactos y casos reproducibles.</x:v>
      </x:c>
      <x:c r="E61" s="23" t="str">
        <x:v>DISEÑADO_NO_EJECUTADO</x:v>
      </x:c>
      <x:c r="F61" s="23" t="str">
        <x:v>NO_ACREDITADA</x:v>
      </x:c>
    </x:row>
    <x:row r="62" ht="86" customHeight="1">
      <x:c r="A62" s="16" t="n">
        <x:v>7</x:v>
      </x:c>
      <x:c r="B62" s="16" t="str">
        <x:v>Nicolás Vega</x:v>
      </x:c>
      <x:c r="C62" s="16" t="str">
        <x:v>Experiencia objetivo</x:v>
      </x:c>
      <x:c r="D62" s="26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62" s="26" t="str">
        <x:v>DISEÑADO_NO_EJECUTADO</x:v>
      </x:c>
      <x:c r="F62" s="26" t="str">
        <x:v>NO_ACREDITADA</x:v>
      </x:c>
    </x:row>
    <x:row r="63" ht="62" customHeight="1">
      <x:c r="A63" s="2" t="n">
        <x:v>7</x:v>
      </x:c>
      <x:c r="B63" s="2" t="str">
        <x:v>Nicolás Vega</x:v>
      </x:c>
      <x:c r="C63" s="2" t="str">
        <x:v>Experiencia objetivo</x:v>
      </x:c>
      <x:c r="D63" s="23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63" s="23" t="str">
        <x:v>DISEÑADO_NO_EJECUTADO</x:v>
      </x:c>
      <x:c r="F63" s="23" t="str">
        <x:v>NO_ACREDITADA</x:v>
      </x:c>
    </x:row>
    <x:row r="64" ht="38" customHeight="1">
      <x:c r="A64" s="16" t="n">
        <x:v>7</x:v>
      </x:c>
      <x:c r="B64" s="16" t="str">
        <x:v>Nicolás Vega</x:v>
      </x:c>
      <x:c r="C64" s="16" t="str">
        <x:v>Formación objetivo</x:v>
      </x:c>
      <x:c r="D64" s="26" t="str">
        <x:v>Ruta aspiracional avanzada en experiencia. Plan interno ficticio; no universidad real. No título obtenido.
Módulos: Interfaz web; Accesibilidad; Gestión de estado; Streaming; Pruebas de interfaz</x:v>
      </x:c>
      <x:c r="E64" s="26" t="str">
        <x:v>DISEÑADO_NO_EJECUTADO</x:v>
      </x:c>
      <x:c r="F64" s="26" t="str">
        <x:v>NO_ACREDITADA</x:v>
      </x:c>
    </x:row>
    <x:row r="65" ht="38" customHeight="1">
      <x:c r="A65" s="2" t="n">
        <x:v>7</x:v>
      </x:c>
      <x:c r="B65" s="2" t="str">
        <x:v>Nicolás Vega</x:v>
      </x:c>
      <x:c r="C65" s="2" t="str">
        <x:v>Formación objetivo</x:v>
      </x:c>
      <x:c r="D65" s="23" t="str">
        <x:v>Fundamentos de evidencia, seguridad y ética operativa. Plan interno ficticio. Formación objetivo, pendiente de prueba.
Módulos: Método experimental; Límites de autoridad; Datos no confiables; Revisión independiente</x:v>
      </x:c>
      <x:c r="E65" s="23" t="str">
        <x:v>DISEÑADO_NO_EJECUTADO</x:v>
      </x:c>
      <x:c r="F65" s="23" t="str">
        <x:v>NO_ACREDITADA</x:v>
      </x:c>
    </x:row>
    <x:row r="66" ht="38" customHeight="1">
      <x:c r="A66" s="16" t="n">
        <x:v>7</x:v>
      </x:c>
      <x:c r="B66" s="16" t="str">
        <x:v>Nicolás Vega</x:v>
      </x:c>
      <x:c r="C66" s="16" t="str">
        <x:v>Certificación objetivo</x:v>
      </x:c>
      <x:c r="D66" s="26" t="str">
        <x:v>Evaluación práctica objetivo de Interfaz web. No certificación real ni obtenida.
Aceptación: Caso nominal, adversarial, regresión y auditoría de evidencia</x:v>
      </x:c>
      <x:c r="E66" s="26" t="str">
        <x:v>DISEÑADO_NO_EJECUTADO</x:v>
      </x:c>
      <x:c r="F66" s="26" t="str">
        <x:v>NO_ACREDITADA</x:v>
      </x:c>
    </x:row>
    <x:row r="67" ht="38" customHeight="1">
      <x:c r="A67" s="2" t="n">
        <x:v>7</x:v>
      </x:c>
      <x:c r="B67" s="2" t="str">
        <x:v>Nicolás Vega</x:v>
      </x:c>
      <x:c r="C67" s="2" t="str">
        <x:v>Certificación objetivo</x:v>
      </x:c>
      <x:c r="D67" s="23" t="str">
        <x:v>Evaluación práctica objetivo de Accesibilidad. No certificación real ni obtenida.
Aceptación: Caso nominal, adversarial, regresión y auditoría de evidencia</x:v>
      </x:c>
      <x:c r="E67" s="23" t="str">
        <x:v>DISEÑADO_NO_EJECUTADO</x:v>
      </x:c>
      <x:c r="F67" s="23" t="str">
        <x:v>NO_ACREDITADA</x:v>
      </x:c>
    </x:row>
    <x:row r="68" ht="38" customHeight="1">
      <x:c r="A68" s="16" t="n">
        <x:v>7</x:v>
      </x:c>
      <x:c r="B68" s="16" t="str">
        <x:v>Nicolás Vega</x:v>
      </x:c>
      <x:c r="C68" s="16" t="str">
        <x:v>Certificación objetivo</x:v>
      </x:c>
      <x:c r="D68" s="26" t="str">
        <x:v>Evaluación práctica objetivo de Gestión de estado. No certificación real ni obtenida.
Aceptación: Caso nominal, adversarial, regresión y auditoría de evidencia</x:v>
      </x:c>
      <x:c r="E68" s="26" t="str">
        <x:v>DISEÑADO_NO_EJECUTADO</x:v>
      </x:c>
      <x:c r="F68" s="26" t="str">
        <x:v>NO_ACREDITADA</x:v>
      </x:c>
    </x:row>
    <x:row r="69" ht="38" customHeight="1">
      <x:c r="A69" s="2" t="n">
        <x:v>8</x:v>
      </x:c>
      <x:c r="B69" s="2" t="str">
        <x:v>Inés Robles</x:v>
      </x:c>
      <x:c r="C69" s="2" t="str">
        <x:v>Resumen</x:v>
      </x:c>
      <x:c r="D69" s="23" t="str">
        <x:v>Inés Robles es la identidad narrativa ficticia del rol Dirección de revisión independiente. Perfil objetivo: Buscar contraejemplos y verificar afirmaciones sobre un candidato que no haya producido. No hay historial profesional real atribuido.</x:v>
      </x:c>
      <x:c r="E69" s="23" t="str">
        <x:v>DISEÑADO_NO_EJECUTADO</x:v>
      </x:c>
      <x:c r="F69" s="23" t="str">
        <x:v>NO_ACREDITADA</x:v>
      </x:c>
    </x:row>
    <x:row r="70" ht="86" customHeight="1">
      <x:c r="A70" s="16" t="n">
        <x:v>8</x:v>
      </x:c>
      <x:c r="B70" s="16" t="str">
        <x:v>Inés Robles</x:v>
      </x:c>
      <x:c r="C70" s="16" t="str">
        <x:v>Experiencia objetivo</x:v>
      </x:c>
      <x:c r="D70" s="26" t="str">
        <x:v>Programa aspiracional de aseguramiento. Laboratorio simulado de ingeniería; entidad ficticia. Itinerario formativo A, sin años de empleo reales.
Alcance: Buscar contraejemplos y verificar afirmaciones sobre un candidato que no haya producido.
Objetivos: Objetivo de portafolio: Revisión del SHA exacto con hallazgos reproducibles; Objetivo de portafolio: Matriz de independencia y conflictos de interés
Verificación: No cursado ni demostrado; evaluar con artefactos y casos reproducibles.</x:v>
      </x:c>
      <x:c r="E70" s="26" t="str">
        <x:v>DISEÑADO_NO_EJECUTADO</x:v>
      </x:c>
      <x:c r="F70" s="26" t="str">
        <x:v>NO_ACREDITADA</x:v>
      </x:c>
    </x:row>
    <x:row r="71" ht="86" customHeight="1">
      <x:c r="A71" s="2" t="n">
        <x:v>8</x:v>
      </x:c>
      <x:c r="B71" s="2" t="str">
        <x:v>Inés Robles</x:v>
      </x:c>
      <x:c r="C71" s="2" t="str">
        <x:v>Experiencia objetivo</x:v>
      </x:c>
      <x:c r="D71" s="23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71" s="23" t="str">
        <x:v>DISEÑADO_NO_EJECUTADO</x:v>
      </x:c>
      <x:c r="F71" s="23" t="str">
        <x:v>NO_ACREDITADA</x:v>
      </x:c>
    </x:row>
    <x:row r="72" ht="62" customHeight="1">
      <x:c r="A72" s="16" t="n">
        <x:v>8</x:v>
      </x:c>
      <x:c r="B72" s="16" t="str">
        <x:v>Inés Robles</x:v>
      </x:c>
      <x:c r="C72" s="16" t="str">
        <x:v>Experiencia objetivo</x:v>
      </x:c>
      <x:c r="D72" s="26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72" s="26" t="str">
        <x:v>DISEÑADO_NO_EJECUTADO</x:v>
      </x:c>
      <x:c r="F72" s="26" t="str">
        <x:v>NO_ACREDITADA</x:v>
      </x:c>
    </x:row>
    <x:row r="73" ht="38" customHeight="1">
      <x:c r="A73" s="2" t="n">
        <x:v>8</x:v>
      </x:c>
      <x:c r="B73" s="2" t="str">
        <x:v>Inés Robles</x:v>
      </x:c>
      <x:c r="C73" s="2" t="str">
        <x:v>Formación objetivo</x:v>
      </x:c>
      <x:c r="D73" s="23" t="str">
        <x:v>Ruta aspiracional avanzada en aseguramiento. Plan interno ficticio; no universidad real. No título obtenido.
Módulos: Revisión independiente; Análisis de contraejemplos; Trazabilidad de evidencia; Análisis de riesgo; Diseño de pruebas</x:v>
      </x:c>
      <x:c r="E73" s="23" t="str">
        <x:v>DISEÑADO_NO_EJECUTADO</x:v>
      </x:c>
      <x:c r="F73" s="23" t="str">
        <x:v>NO_ACREDITADA</x:v>
      </x:c>
    </x:row>
    <x:row r="74" ht="38" customHeight="1">
      <x:c r="A74" s="16" t="n">
        <x:v>8</x:v>
      </x:c>
      <x:c r="B74" s="16" t="str">
        <x:v>Inés Robles</x:v>
      </x:c>
      <x:c r="C74" s="16" t="str">
        <x:v>Formación objetivo</x:v>
      </x:c>
      <x:c r="D74" s="26" t="str">
        <x:v>Fundamentos de evidencia, seguridad y ética operativa. Plan interno ficticio. Formación objetivo, pendiente de prueba.
Módulos: Método experimental; Límites de autoridad; Datos no confiables; Revisión independiente</x:v>
      </x:c>
      <x:c r="E74" s="26" t="str">
        <x:v>DISEÑADO_NO_EJECUTADO</x:v>
      </x:c>
      <x:c r="F74" s="26" t="str">
        <x:v>NO_ACREDITADA</x:v>
      </x:c>
    </x:row>
    <x:row r="75" ht="38" customHeight="1">
      <x:c r="A75" s="2" t="n">
        <x:v>8</x:v>
      </x:c>
      <x:c r="B75" s="2" t="str">
        <x:v>Inés Robles</x:v>
      </x:c>
      <x:c r="C75" s="2" t="str">
        <x:v>Certificación objetivo</x:v>
      </x:c>
      <x:c r="D75" s="23" t="str">
        <x:v>Evaluación práctica objetivo de Revisión independiente. No certificación real ni obtenida.
Aceptación: Caso nominal, adversarial, regresión y auditoría de evidencia</x:v>
      </x:c>
      <x:c r="E75" s="23" t="str">
        <x:v>DISEÑADO_NO_EJECUTADO</x:v>
      </x:c>
      <x:c r="F75" s="23" t="str">
        <x:v>NO_ACREDITADA</x:v>
      </x:c>
    </x:row>
    <x:row r="76" ht="38" customHeight="1">
      <x:c r="A76" s="16" t="n">
        <x:v>8</x:v>
      </x:c>
      <x:c r="B76" s="16" t="str">
        <x:v>Inés Robles</x:v>
      </x:c>
      <x:c r="C76" s="16" t="str">
        <x:v>Certificación objetivo</x:v>
      </x:c>
      <x:c r="D76" s="26" t="str">
        <x:v>Evaluación práctica objetivo de Análisis de contraejemplos. No certificación real ni obtenida.
Aceptación: Caso nominal, adversarial, regresión y auditoría de evidencia</x:v>
      </x:c>
      <x:c r="E76" s="26" t="str">
        <x:v>DISEÑADO_NO_EJECUTADO</x:v>
      </x:c>
      <x:c r="F76" s="26" t="str">
        <x:v>NO_ACREDITADA</x:v>
      </x:c>
    </x:row>
    <x:row r="77" ht="38" customHeight="1">
      <x:c r="A77" s="2" t="n">
        <x:v>8</x:v>
      </x:c>
      <x:c r="B77" s="2" t="str">
        <x:v>Inés Robles</x:v>
      </x:c>
      <x:c r="C77" s="2" t="str">
        <x:v>Certificación objetivo</x:v>
      </x:c>
      <x:c r="D77" s="23" t="str">
        <x:v>Evaluación práctica objetivo de Trazabilidad de evidencia. No certificación real ni obtenida.
Aceptación: Caso nominal, adversarial, regresión y auditoría de evidencia</x:v>
      </x:c>
      <x:c r="E77" s="23" t="str">
        <x:v>DISEÑADO_NO_EJECUTADO</x:v>
      </x:c>
      <x:c r="F77" s="23" t="str">
        <x:v>NO_ACREDITADA</x:v>
      </x:c>
    </x:row>
    <x:row r="78" ht="50" customHeight="1">
      <x:c r="A78" s="16" t="n">
        <x:v>9</x:v>
      </x:c>
      <x:c r="B78" s="16" t="str">
        <x:v>Valeria Ríos</x:v>
      </x:c>
      <x:c r="C78" s="16" t="str">
        <x:v>Resumen</x:v>
      </x:c>
      <x:c r="D78" s="26" t="str">
        <x:v>Valeria Ríos es la identidad narrativa ficticia del rol Auditoría de seguridad y confianza. Perfil objetivo: Identificar exposición de secretos, permisos indebidos e instrucciones no confiables antes de promover un cambio. No hay historial profesional real atribuido.</x:v>
      </x:c>
      <x:c r="E78" s="26" t="str">
        <x:v>DISEÑADO_NO_EJECUTADO</x:v>
      </x:c>
      <x:c r="F78" s="26" t="str">
        <x:v>NO_ACREDITADA</x:v>
      </x:c>
    </x:row>
    <x:row r="79" ht="86" customHeight="1">
      <x:c r="A79" s="2" t="n">
        <x:v>9</x:v>
      </x:c>
      <x:c r="B79" s="2" t="str">
        <x:v>Valeria Ríos</x:v>
      </x:c>
      <x:c r="C79" s="2" t="str">
        <x:v>Experiencia objetivo</x:v>
      </x:c>
      <x:c r="D79" s="23" t="str">
        <x:v>Programa aspiracional de aseguramiento. Laboratorio simulado de ingeniería; entidad ficticia. Itinerario formativo A, sin años de empleo reales.
Alcance: Identificar exposición de secretos, permisos indebidos e instrucciones no confiables antes de promover un cambio.
Objetivos: Objetivo de portafolio: Modelo de amenazas con superficies y límites de confianza; Objetivo de portafolio: Pruebas negativas de autorización y aislamiento
Verificación: No cursado ni demostrado; evaluar con artefactos y casos reproducibles.</x:v>
      </x:c>
      <x:c r="E79" s="23" t="str">
        <x:v>DISEÑADO_NO_EJECUTADO</x:v>
      </x:c>
      <x:c r="F79" s="23" t="str">
        <x:v>NO_ACREDITADA</x:v>
      </x:c>
    </x:row>
    <x:row r="80" ht="86" customHeight="1">
      <x:c r="A80" s="16" t="n">
        <x:v>9</x:v>
      </x:c>
      <x:c r="B80" s="16" t="str">
        <x:v>Valeria Ríos</x:v>
      </x:c>
      <x:c r="C80" s="16" t="str">
        <x:v>Experiencia objetivo</x:v>
      </x:c>
      <x:c r="D80" s="26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80" s="26" t="str">
        <x:v>DISEÑADO_NO_EJECUTADO</x:v>
      </x:c>
      <x:c r="F80" s="26" t="str">
        <x:v>NO_ACREDITADA</x:v>
      </x:c>
    </x:row>
    <x:row r="81" ht="62" customHeight="1">
      <x:c r="A81" s="2" t="n">
        <x:v>9</x:v>
      </x:c>
      <x:c r="B81" s="2" t="str">
        <x:v>Valeria Ríos</x:v>
      </x:c>
      <x:c r="C81" s="2" t="str">
        <x:v>Experiencia objetivo</x:v>
      </x:c>
      <x:c r="D81" s="23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81" s="23" t="str">
        <x:v>DISEÑADO_NO_EJECUTADO</x:v>
      </x:c>
      <x:c r="F81" s="23" t="str">
        <x:v>NO_ACREDITADA</x:v>
      </x:c>
    </x:row>
    <x:row r="82" ht="38" customHeight="1">
      <x:c r="A82" s="16" t="n">
        <x:v>9</x:v>
      </x:c>
      <x:c r="B82" s="16" t="str">
        <x:v>Valeria Ríos</x:v>
      </x:c>
      <x:c r="C82" s="16" t="str">
        <x:v>Formación objetivo</x:v>
      </x:c>
      <x:c r="D82" s="26" t="str">
        <x:v>Ruta aspiracional avanzada en aseguramiento. Plan interno ficticio; no universidad real. No título obtenido.
Módulos: Modelado de amenazas; Autorización; Gestión de secretos; Inyección de instrucciones; Seguridad de dependencias</x:v>
      </x:c>
      <x:c r="E82" s="26" t="str">
        <x:v>DISEÑADO_NO_EJECUTADO</x:v>
      </x:c>
      <x:c r="F82" s="26" t="str">
        <x:v>NO_ACREDITADA</x:v>
      </x:c>
    </x:row>
    <x:row r="83" ht="38" customHeight="1">
      <x:c r="A83" s="2" t="n">
        <x:v>9</x:v>
      </x:c>
      <x:c r="B83" s="2" t="str">
        <x:v>Valeria Ríos</x:v>
      </x:c>
      <x:c r="C83" s="2" t="str">
        <x:v>Formación objetivo</x:v>
      </x:c>
      <x:c r="D83" s="23" t="str">
        <x:v>Fundamentos de evidencia, seguridad y ética operativa. Plan interno ficticio. Formación objetivo, pendiente de prueba.
Módulos: Método experimental; Límites de autoridad; Datos no confiables; Revisión independiente</x:v>
      </x:c>
      <x:c r="E83" s="23" t="str">
        <x:v>DISEÑADO_NO_EJECUTADO</x:v>
      </x:c>
      <x:c r="F83" s="23" t="str">
        <x:v>NO_ACREDITADA</x:v>
      </x:c>
    </x:row>
    <x:row r="84" ht="38" customHeight="1">
      <x:c r="A84" s="16" t="n">
        <x:v>9</x:v>
      </x:c>
      <x:c r="B84" s="16" t="str">
        <x:v>Valeria Ríos</x:v>
      </x:c>
      <x:c r="C84" s="16" t="str">
        <x:v>Certificación objetivo</x:v>
      </x:c>
      <x:c r="D84" s="26" t="str">
        <x:v>Evaluación práctica objetivo de Modelado de amenazas. No certificación real ni obtenida.
Aceptación: Caso nominal, adversarial, regresión y auditoría de evidencia</x:v>
      </x:c>
      <x:c r="E84" s="26" t="str">
        <x:v>DISEÑADO_NO_EJECUTADO</x:v>
      </x:c>
      <x:c r="F84" s="26" t="str">
        <x:v>NO_ACREDITADA</x:v>
      </x:c>
    </x:row>
    <x:row r="85" ht="38" customHeight="1">
      <x:c r="A85" s="2" t="n">
        <x:v>9</x:v>
      </x:c>
      <x:c r="B85" s="2" t="str">
        <x:v>Valeria Ríos</x:v>
      </x:c>
      <x:c r="C85" s="2" t="str">
        <x:v>Certificación objetivo</x:v>
      </x:c>
      <x:c r="D85" s="23" t="str">
        <x:v>Evaluación práctica objetivo de Autorización. No certificación real ni obtenida.
Aceptación: Caso nominal, adversarial, regresión y auditoría de evidencia</x:v>
      </x:c>
      <x:c r="E85" s="23" t="str">
        <x:v>DISEÑADO_NO_EJECUTADO</x:v>
      </x:c>
      <x:c r="F85" s="23" t="str">
        <x:v>NO_ACREDITADA</x:v>
      </x:c>
    </x:row>
    <x:row r="86" ht="38" customHeight="1">
      <x:c r="A86" s="16" t="n">
        <x:v>9</x:v>
      </x:c>
      <x:c r="B86" s="16" t="str">
        <x:v>Valeria Ríos</x:v>
      </x:c>
      <x:c r="C86" s="16" t="str">
        <x:v>Certificación objetivo</x:v>
      </x:c>
      <x:c r="D86" s="26" t="str">
        <x:v>Evaluación práctica objetivo de Gestión de secretos. No certificación real ni obtenida.
Aceptación: Caso nominal, adversarial, regresión y auditoría de evidencia</x:v>
      </x:c>
      <x:c r="E86" s="26" t="str">
        <x:v>DISEÑADO_NO_EJECUTADO</x:v>
      </x:c>
      <x:c r="F86" s="26" t="str">
        <x:v>NO_ACREDITADA</x:v>
      </x:c>
    </x:row>
    <x:row r="87" ht="38" customHeight="1">
      <x:c r="A87" s="2" t="n">
        <x:v>10</x:v>
      </x:c>
      <x:c r="B87" s="2" t="str">
        <x:v>Iván Olivares</x:v>
      </x:c>
      <x:c r="C87" s="2" t="str">
        <x:v>Resumen</x:v>
      </x:c>
      <x:c r="D87" s="23" t="str">
        <x:v>Iván Olivares es la identidad narrativa ficticia del rol Auditoría final de evidencia. Perfil objetivo: Auditar integridad, suficiencia e independencia de la evidencia sin certificar producción propia. No hay historial profesional real atribuido.</x:v>
      </x:c>
      <x:c r="E87" s="23" t="str">
        <x:v>DISEÑADO_NO_EJECUTADO</x:v>
      </x:c>
      <x:c r="F87" s="23" t="str">
        <x:v>NO_ACREDITADA</x:v>
      </x:c>
    </x:row>
    <x:row r="88" ht="86" customHeight="1">
      <x:c r="A88" s="16" t="n">
        <x:v>10</x:v>
      </x:c>
      <x:c r="B88" s="16" t="str">
        <x:v>Iván Olivares</x:v>
      </x:c>
      <x:c r="C88" s="16" t="str">
        <x:v>Experiencia objetivo</x:v>
      </x:c>
      <x:c r="D88" s="26" t="str">
        <x:v>Programa aspiracional de aseguramiento. Laboratorio simulado de ingeniería; entidad ficticia. Itinerario formativo A, sin años de empleo reales.
Alcance: Auditar integridad, suficiencia e independencia de la evidencia sin certificar producción propia.
Objetivos: Objetivo de portafolio: Manifiesto de evidencia con hash, SHA, entorno y timestamp; Objetivo de portafolio: Revisión de cobertura, conflictos y afirmaciones no sustentadas
Verificación: No cursado ni demostrado; evaluar con artefactos y casos reproducibles.</x:v>
      </x:c>
      <x:c r="E88" s="26" t="str">
        <x:v>DISEÑADO_NO_EJECUTADO</x:v>
      </x:c>
      <x:c r="F88" s="26" t="str">
        <x:v>NO_ACREDITADA</x:v>
      </x:c>
    </x:row>
    <x:row r="89" ht="86" customHeight="1">
      <x:c r="A89" s="2" t="n">
        <x:v>10</x:v>
      </x:c>
      <x:c r="B89" s="2" t="str">
        <x:v>Iván Olivares</x:v>
      </x:c>
      <x:c r="C89" s="2" t="str">
        <x:v>Experiencia objetivo</x:v>
      </x:c>
      <x:c r="D89" s="23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89" s="23" t="str">
        <x:v>DISEÑADO_NO_EJECUTADO</x:v>
      </x:c>
      <x:c r="F89" s="23" t="str">
        <x:v>NO_ACREDITADA</x:v>
      </x:c>
    </x:row>
    <x:row r="90" ht="62" customHeight="1">
      <x:c r="A90" s="16" t="n">
        <x:v>10</x:v>
      </x:c>
      <x:c r="B90" s="16" t="str">
        <x:v>Iván Olivares</x:v>
      </x:c>
      <x:c r="C90" s="16" t="str">
        <x:v>Experiencia objetivo</x:v>
      </x:c>
      <x:c r="D90" s="26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90" s="26" t="str">
        <x:v>DISEÑADO_NO_EJECUTADO</x:v>
      </x:c>
      <x:c r="F90" s="26" t="str">
        <x:v>NO_ACREDITADA</x:v>
      </x:c>
    </x:row>
    <x:row r="91" ht="38" customHeight="1">
      <x:c r="A91" s="2" t="n">
        <x:v>10</x:v>
      </x:c>
      <x:c r="B91" s="2" t="str">
        <x:v>Iván Olivares</x:v>
      </x:c>
      <x:c r="C91" s="2" t="str">
        <x:v>Formación objetivo</x:v>
      </x:c>
      <x:c r="D91" s="23" t="str">
        <x:v>Ruta aspiracional avanzada en aseguramiento. Plan interno ficticio; no universidad real. No título obtenido.
Módulos: Trazabilidad de evidencia; Revisión independiente; Integridad de artefactos; Análisis de contraejemplos; Gestión de gates</x:v>
      </x:c>
      <x:c r="E91" s="23" t="str">
        <x:v>DISEÑADO_NO_EJECUTADO</x:v>
      </x:c>
      <x:c r="F91" s="23" t="str">
        <x:v>NO_ACREDITADA</x:v>
      </x:c>
    </x:row>
    <x:row r="92" ht="38" customHeight="1">
      <x:c r="A92" s="16" t="n">
        <x:v>10</x:v>
      </x:c>
      <x:c r="B92" s="16" t="str">
        <x:v>Iván Olivares</x:v>
      </x:c>
      <x:c r="C92" s="16" t="str">
        <x:v>Formación objetivo</x:v>
      </x:c>
      <x:c r="D92" s="26" t="str">
        <x:v>Fundamentos de evidencia, seguridad y ética operativa. Plan interno ficticio. Formación objetivo, pendiente de prueba.
Módulos: Método experimental; Límites de autoridad; Datos no confiables; Revisión independiente</x:v>
      </x:c>
      <x:c r="E92" s="26" t="str">
        <x:v>DISEÑADO_NO_EJECUTADO</x:v>
      </x:c>
      <x:c r="F92" s="26" t="str">
        <x:v>NO_ACREDITADA</x:v>
      </x:c>
    </x:row>
    <x:row r="93" ht="38" customHeight="1">
      <x:c r="A93" s="2" t="n">
        <x:v>10</x:v>
      </x:c>
      <x:c r="B93" s="2" t="str">
        <x:v>Iván Olivares</x:v>
      </x:c>
      <x:c r="C93" s="2" t="str">
        <x:v>Certificación objetivo</x:v>
      </x:c>
      <x:c r="D93" s="23" t="str">
        <x:v>Evaluación práctica objetivo de Trazabilidad de evidencia. No certificación real ni obtenida.
Aceptación: Caso nominal, adversarial, regresión y auditoría de evidencia</x:v>
      </x:c>
      <x:c r="E93" s="23" t="str">
        <x:v>DISEÑADO_NO_EJECUTADO</x:v>
      </x:c>
      <x:c r="F93" s="23" t="str">
        <x:v>NO_ACREDITADA</x:v>
      </x:c>
    </x:row>
    <x:row r="94" ht="38" customHeight="1">
      <x:c r="A94" s="16" t="n">
        <x:v>10</x:v>
      </x:c>
      <x:c r="B94" s="16" t="str">
        <x:v>Iván Olivares</x:v>
      </x:c>
      <x:c r="C94" s="16" t="str">
        <x:v>Certificación objetivo</x:v>
      </x:c>
      <x:c r="D94" s="26" t="str">
        <x:v>Evaluación práctica objetivo de Revisión independiente. No certificación real ni obtenida.
Aceptación: Caso nominal, adversarial, regresión y auditoría de evidencia</x:v>
      </x:c>
      <x:c r="E94" s="26" t="str">
        <x:v>DISEÑADO_NO_EJECUTADO</x:v>
      </x:c>
      <x:c r="F94" s="26" t="str">
        <x:v>NO_ACREDITADA</x:v>
      </x:c>
    </x:row>
    <x:row r="95" ht="38" customHeight="1">
      <x:c r="A95" s="2" t="n">
        <x:v>10</x:v>
      </x:c>
      <x:c r="B95" s="2" t="str">
        <x:v>Iván Olivares</x:v>
      </x:c>
      <x:c r="C95" s="2" t="str">
        <x:v>Certificación objetivo</x:v>
      </x:c>
      <x:c r="D95" s="23" t="str">
        <x:v>Evaluación práctica objetivo de Integridad de artefactos. No certificación real ni obtenida.
Aceptación: Caso nominal, adversarial, regresión y auditoría de evidencia</x:v>
      </x:c>
      <x:c r="E95" s="23" t="str">
        <x:v>DISEÑADO_NO_EJECUTADO</x:v>
      </x:c>
      <x:c r="F95" s="23" t="str">
        <x:v>NO_ACREDITADA</x:v>
      </x:c>
    </x:row>
    <x:row r="96" ht="38" customHeight="1">
      <x:c r="A96" s="16" t="n">
        <x:v>11</x:v>
      </x:c>
      <x:c r="B96" s="16" t="str">
        <x:v>Andrés Leiva</x:v>
      </x:c>
      <x:c r="C96" s="16" t="str">
        <x:v>Resumen</x:v>
      </x:c>
      <x:c r="D96" s="26" t="str">
        <x:v>Andrés Leiva es la identidad narrativa ficticia del rol Ingeniería de fiabilidad y operación. Perfil objetivo: Verificar que el sistema desplegado conserva disponibilidad semántica y puede recuperarse de fallos. No hay historial profesional real atribuido.</x:v>
      </x:c>
      <x:c r="E96" s="26" t="str">
        <x:v>DISEÑADO_NO_EJECUTADO</x:v>
      </x:c>
      <x:c r="F96" s="26" t="str">
        <x:v>NO_ACREDITADA</x:v>
      </x:c>
    </x:row>
    <x:row r="97" ht="86" customHeight="1">
      <x:c r="A97" s="2" t="n">
        <x:v>11</x:v>
      </x:c>
      <x:c r="B97" s="2" t="str">
        <x:v>Andrés Leiva</x:v>
      </x:c>
      <x:c r="C97" s="2" t="str">
        <x:v>Experiencia objetivo</x:v>
      </x:c>
      <x:c r="D97" s="23" t="str">
        <x:v>Programa aspiracional de operaciones. Laboratorio simulado de ingeniería; entidad ficticia. Itinerario formativo A, sin años de empleo reales.
Alcance: Verificar que el sistema desplegado conserva disponibilidad semántica y puede recuperarse de fallos.
Objetivos: Objetivo de portafolio: SLI/SLO y alertas accionables; Objetivo de portafolio: Runbook de incidente, backup y recuperación probado
Verificación: No cursado ni demostrado; evaluar con artefactos y casos reproducibles.</x:v>
      </x:c>
      <x:c r="E97" s="23" t="str">
        <x:v>DISEÑADO_NO_EJECUTADO</x:v>
      </x:c>
      <x:c r="F97" s="23" t="str">
        <x:v>NO_ACREDITADA</x:v>
      </x:c>
    </x:row>
    <x:row r="98" ht="86" customHeight="1">
      <x:c r="A98" s="16" t="n">
        <x:v>11</x:v>
      </x:c>
      <x:c r="B98" s="16" t="str">
        <x:v>Andrés Leiva</x:v>
      </x:c>
      <x:c r="C98" s="16" t="str">
        <x:v>Experiencia objetivo</x:v>
      </x:c>
      <x:c r="D98" s="26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98" s="26" t="str">
        <x:v>DISEÑADO_NO_EJECUTADO</x:v>
      </x:c>
      <x:c r="F98" s="26" t="str">
        <x:v>NO_ACREDITADA</x:v>
      </x:c>
    </x:row>
    <x:row r="99" ht="62" customHeight="1">
      <x:c r="A99" s="2" t="n">
        <x:v>11</x:v>
      </x:c>
      <x:c r="B99" s="2" t="str">
        <x:v>Andrés Leiva</x:v>
      </x:c>
      <x:c r="C99" s="2" t="str">
        <x:v>Experiencia objetivo</x:v>
      </x:c>
      <x:c r="D99" s="23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99" s="23" t="str">
        <x:v>DISEÑADO_NO_EJECUTADO</x:v>
      </x:c>
      <x:c r="F99" s="23" t="str">
        <x:v>NO_ACREDITADA</x:v>
      </x:c>
    </x:row>
    <x:row r="100" ht="38" customHeight="1">
      <x:c r="A100" s="16" t="n">
        <x:v>11</x:v>
      </x:c>
      <x:c r="B100" s="16" t="str">
        <x:v>Andrés Leiva</x:v>
      </x:c>
      <x:c r="C100" s="16" t="str">
        <x:v>Formación objetivo</x:v>
      </x:c>
      <x:c r="D100" s="26" t="str">
        <x:v>Ruta aspiracional avanzada en operaciones. Plan interno ficticio; no universidad real. No título obtenido.
Módulos: Observabilidad; Respuesta a incidentes; Recuperación; SLO; Operación segura</x:v>
      </x:c>
      <x:c r="E100" s="26" t="str">
        <x:v>DISEÑADO_NO_EJECUTADO</x:v>
      </x:c>
      <x:c r="F100" s="26" t="str">
        <x:v>NO_ACREDITADA</x:v>
      </x:c>
    </x:row>
    <x:row r="101" ht="38" customHeight="1">
      <x:c r="A101" s="2" t="n">
        <x:v>11</x:v>
      </x:c>
      <x:c r="B101" s="2" t="str">
        <x:v>Andrés Leiva</x:v>
      </x:c>
      <x:c r="C101" s="2" t="str">
        <x:v>Formación objetivo</x:v>
      </x:c>
      <x:c r="D101" s="23" t="str">
        <x:v>Fundamentos de evidencia, seguridad y ética operativa. Plan interno ficticio. Formación objetivo, pendiente de prueba.
Módulos: Método experimental; Límites de autoridad; Datos no confiables; Revisión independiente</x:v>
      </x:c>
      <x:c r="E101" s="23" t="str">
        <x:v>DISEÑADO_NO_EJECUTADO</x:v>
      </x:c>
      <x:c r="F101" s="23" t="str">
        <x:v>NO_ACREDITADA</x:v>
      </x:c>
    </x:row>
    <x:row r="102" ht="38" customHeight="1">
      <x:c r="A102" s="16" t="n">
        <x:v>11</x:v>
      </x:c>
      <x:c r="B102" s="16" t="str">
        <x:v>Andrés Leiva</x:v>
      </x:c>
      <x:c r="C102" s="16" t="str">
        <x:v>Certificación objetivo</x:v>
      </x:c>
      <x:c r="D102" s="26" t="str">
        <x:v>Evaluación práctica objetivo de Observabilidad. No certificación real ni obtenida.
Aceptación: Caso nominal, adversarial, regresión y auditoría de evidencia</x:v>
      </x:c>
      <x:c r="E102" s="26" t="str">
        <x:v>DISEÑADO_NO_EJECUTADO</x:v>
      </x:c>
      <x:c r="F102" s="26" t="str">
        <x:v>NO_ACREDITADA</x:v>
      </x:c>
    </x:row>
    <x:row r="103" ht="38" customHeight="1">
      <x:c r="A103" s="2" t="n">
        <x:v>11</x:v>
      </x:c>
      <x:c r="B103" s="2" t="str">
        <x:v>Andrés Leiva</x:v>
      </x:c>
      <x:c r="C103" s="2" t="str">
        <x:v>Certificación objetivo</x:v>
      </x:c>
      <x:c r="D103" s="23" t="str">
        <x:v>Evaluación práctica objetivo de Respuesta a incidentes. No certificación real ni obtenida.
Aceptación: Caso nominal, adversarial, regresión y auditoría de evidencia</x:v>
      </x:c>
      <x:c r="E103" s="23" t="str">
        <x:v>DISEÑADO_NO_EJECUTADO</x:v>
      </x:c>
      <x:c r="F103" s="23" t="str">
        <x:v>NO_ACREDITADA</x:v>
      </x:c>
    </x:row>
    <x:row r="104" ht="38" customHeight="1">
      <x:c r="A104" s="16" t="n">
        <x:v>11</x:v>
      </x:c>
      <x:c r="B104" s="16" t="str">
        <x:v>Andrés Leiva</x:v>
      </x:c>
      <x:c r="C104" s="16" t="str">
        <x:v>Certificación objetivo</x:v>
      </x:c>
      <x:c r="D104" s="26" t="str">
        <x:v>Evaluación práctica objetivo de Recuperación. No certificación real ni obtenida.
Aceptación: Caso nominal, adversarial, regresión y auditoría de evidencia</x:v>
      </x:c>
      <x:c r="E104" s="26" t="str">
        <x:v>DISEÑADO_NO_EJECUTADO</x:v>
      </x:c>
      <x:c r="F104" s="26" t="str">
        <x:v>NO_ACREDITADA</x:v>
      </x:c>
    </x:row>
    <x:row r="105" ht="50" customHeight="1">
      <x:c r="A105" s="2" t="n">
        <x:v>12</x:v>
      </x:c>
      <x:c r="B105" s="2" t="str">
        <x:v>Hugo Serrano</x:v>
      </x:c>
      <x:c r="C105" s="2" t="str">
        <x:v>Resumen</x:v>
      </x:c>
      <x:c r="D105" s="23" t="str">
        <x:v>Hugo Serrano es la identidad narrativa ficticia del rol Auditoría de conciliación y valor. Perfil objetivo: Reconstruir resultados a partir de eventos y costes verificables, conservando pérdidas y diferencias no resueltas. No hay historial profesional real atribuido.</x:v>
      </x:c>
      <x:c r="E105" s="23" t="str">
        <x:v>DISEÑADO_NO_EJECUTADO</x:v>
      </x:c>
      <x:c r="F105" s="23" t="str">
        <x:v>NO_ACREDITADA</x:v>
      </x:c>
    </x:row>
    <x:row r="106" ht="86" customHeight="1">
      <x:c r="A106" s="16" t="n">
        <x:v>12</x:v>
      </x:c>
      <x:c r="B106" s="16" t="str">
        <x:v>Hugo Serrano</x:v>
      </x:c>
      <x:c r="C106" s="16" t="str">
        <x:v>Experiencia objetivo</x:v>
      </x:c>
      <x:c r="D106" s="26" t="str">
        <x:v>Programa aspiracional de aseguramiento. Laboratorio simulado de ingeniería; entidad ficticia. Itinerario formativo A, sin años de empleo reales.
Alcance: Reconstruir resultados a partir de eventos y costes verificables, conservando pérdidas y diferencias no resueltas.
Objetivos: Objetivo de portafolio: Conciliación fuente → eventos → saldos → resultado; Objetivo de portafolio: Desglose de costes, pérdidas y discrepancias
Verificación: No cursado ni demostrado; evaluar con artefactos y casos reproducibles.</x:v>
      </x:c>
      <x:c r="E106" s="26" t="str">
        <x:v>DISEÑADO_NO_EJECUTADO</x:v>
      </x:c>
      <x:c r="F106" s="26" t="str">
        <x:v>NO_ACREDITADA</x:v>
      </x:c>
    </x:row>
    <x:row r="107" ht="86" customHeight="1">
      <x:c r="A107" s="2" t="n">
        <x:v>12</x:v>
      </x:c>
      <x:c r="B107" s="2" t="str">
        <x:v>Hugo Serrano</x:v>
      </x:c>
      <x:c r="C107" s="2" t="str">
        <x:v>Experiencia objetivo</x:v>
      </x:c>
      <x:c r="D107" s="23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107" s="23" t="str">
        <x:v>DISEÑADO_NO_EJECUTADO</x:v>
      </x:c>
      <x:c r="F107" s="23" t="str">
        <x:v>NO_ACREDITADA</x:v>
      </x:c>
    </x:row>
    <x:row r="108" ht="62" customHeight="1">
      <x:c r="A108" s="16" t="n">
        <x:v>12</x:v>
      </x:c>
      <x:c r="B108" s="16" t="str">
        <x:v>Hugo Serrano</x:v>
      </x:c>
      <x:c r="C108" s="16" t="str">
        <x:v>Experiencia objetivo</x:v>
      </x:c>
      <x:c r="D108" s="26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108" s="26" t="str">
        <x:v>DISEÑADO_NO_EJECUTADO</x:v>
      </x:c>
      <x:c r="F108" s="26" t="str">
        <x:v>NO_ACREDITADA</x:v>
      </x:c>
    </x:row>
    <x:row r="109" ht="38" customHeight="1">
      <x:c r="A109" s="2" t="n">
        <x:v>12</x:v>
      </x:c>
      <x:c r="B109" s="2" t="str">
        <x:v>Hugo Serrano</x:v>
      </x:c>
      <x:c r="C109" s="2" t="str">
        <x:v>Formación objetivo</x:v>
      </x:c>
      <x:c r="D109" s="23" t="str">
        <x:v>Ruta aspiracional avanzada en aseguramiento. Plan interno ficticio; no universidad real. No título obtenido.
Módulos: Conciliación; Contabilidad de eventos; Precisión numérica; Trazabilidad de evidencia; Análisis dimensional</x:v>
      </x:c>
      <x:c r="E109" s="23" t="str">
        <x:v>DISEÑADO_NO_EJECUTADO</x:v>
      </x:c>
      <x:c r="F109" s="23" t="str">
        <x:v>NO_ACREDITADA</x:v>
      </x:c>
    </x:row>
    <x:row r="110" ht="38" customHeight="1">
      <x:c r="A110" s="16" t="n">
        <x:v>12</x:v>
      </x:c>
      <x:c r="B110" s="16" t="str">
        <x:v>Hugo Serrano</x:v>
      </x:c>
      <x:c r="C110" s="16" t="str">
        <x:v>Formación objetivo</x:v>
      </x:c>
      <x:c r="D110" s="26" t="str">
        <x:v>Fundamentos de evidencia, seguridad y ética operativa. Plan interno ficticio. Formación objetivo, pendiente de prueba.
Módulos: Método experimental; Límites de autoridad; Datos no confiables; Revisión independiente</x:v>
      </x:c>
      <x:c r="E110" s="26" t="str">
        <x:v>DISEÑADO_NO_EJECUTADO</x:v>
      </x:c>
      <x:c r="F110" s="26" t="str">
        <x:v>NO_ACREDITADA</x:v>
      </x:c>
    </x:row>
    <x:row r="111" ht="38" customHeight="1">
      <x:c r="A111" s="2" t="n">
        <x:v>12</x:v>
      </x:c>
      <x:c r="B111" s="2" t="str">
        <x:v>Hugo Serrano</x:v>
      </x:c>
      <x:c r="C111" s="2" t="str">
        <x:v>Certificación objetivo</x:v>
      </x:c>
      <x:c r="D111" s="23" t="str">
        <x:v>Evaluación práctica objetivo de Conciliación. No certificación real ni obtenida.
Aceptación: Caso nominal, adversarial, regresión y auditoría de evidencia</x:v>
      </x:c>
      <x:c r="E111" s="23" t="str">
        <x:v>DISEÑADO_NO_EJECUTADO</x:v>
      </x:c>
      <x:c r="F111" s="23" t="str">
        <x:v>NO_ACREDITADA</x:v>
      </x:c>
    </x:row>
    <x:row r="112" ht="38" customHeight="1">
      <x:c r="A112" s="16" t="n">
        <x:v>12</x:v>
      </x:c>
      <x:c r="B112" s="16" t="str">
        <x:v>Hugo Serrano</x:v>
      </x:c>
      <x:c r="C112" s="16" t="str">
        <x:v>Certificación objetivo</x:v>
      </x:c>
      <x:c r="D112" s="26" t="str">
        <x:v>Evaluación práctica objetivo de Contabilidad de eventos. No certificación real ni obtenida.
Aceptación: Caso nominal, adversarial, regresión y auditoría de evidencia</x:v>
      </x:c>
      <x:c r="E112" s="26" t="str">
        <x:v>DISEÑADO_NO_EJECUTADO</x:v>
      </x:c>
      <x:c r="F112" s="26" t="str">
        <x:v>NO_ACREDITADA</x:v>
      </x:c>
    </x:row>
    <x:row r="113" ht="38" customHeight="1">
      <x:c r="A113" s="2" t="n">
        <x:v>12</x:v>
      </x:c>
      <x:c r="B113" s="2" t="str">
        <x:v>Hugo Serrano</x:v>
      </x:c>
      <x:c r="C113" s="2" t="str">
        <x:v>Certificación objetivo</x:v>
      </x:c>
      <x:c r="D113" s="23" t="str">
        <x:v>Evaluación práctica objetivo de Precisión numérica. No certificación real ni obtenida.
Aceptación: Caso nominal, adversarial, regresión y auditoría de evidencia</x:v>
      </x:c>
      <x:c r="E113" s="23" t="str">
        <x:v>DISEÑADO_NO_EJECUTADO</x:v>
      </x:c>
      <x:c r="F113" s="23" t="str">
        <x:v>NO_ACREDITADA</x:v>
      </x:c>
    </x:row>
    <x:row r="114" ht="38" customHeight="1">
      <x:c r="A114" s="16" t="n">
        <x:v>13</x:v>
      </x:c>
      <x:c r="B114" s="16" t="str">
        <x:v>Sofía Montalvo</x:v>
      </x:c>
      <x:c r="C114" s="16" t="str">
        <x:v>Resumen</x:v>
      </x:c>
      <x:c r="D114" s="26" t="str">
        <x:v>Sofía Montalvo es la identidad narrativa ficticia del rol Gestión de integración y publicación. Perfil objetivo: Integrar y publicar únicamente el candidato validado cuando exista autorización explícita y reversible. No hay historial profesional real atribuido.</x:v>
      </x:c>
      <x:c r="E114" s="26" t="str">
        <x:v>DISEÑADO_NO_EJECUTADO</x:v>
      </x:c>
      <x:c r="F114" s="26" t="str">
        <x:v>NO_ACREDITADA</x:v>
      </x:c>
    </x:row>
    <x:row r="115" ht="86" customHeight="1">
      <x:c r="A115" s="2" t="n">
        <x:v>13</x:v>
      </x:c>
      <x:c r="B115" s="2" t="str">
        <x:v>Sofía Montalvo</x:v>
      </x:c>
      <x:c r="C115" s="2" t="str">
        <x:v>Experiencia objetivo</x:v>
      </x:c>
      <x:c r="D115" s="23" t="str">
        <x:v>Programa aspiracional de entrega. Laboratorio simulado de ingeniería; entidad ficticia. Itinerario formativo A, sin años de empleo reales.
Alcance: Integrar y publicar únicamente el candidato validado cuando exista autorización explícita y reversible.
Objetivos: Objetivo de portafolio: Manifiesto de candidato con SHA, pruebas y autorización; Objetivo de portafolio: PR de revisión y registro de gates independientes
Verificación: No cursado ni demostrado; evaluar con artefactos y casos reproducibles.</x:v>
      </x:c>
      <x:c r="E115" s="23" t="str">
        <x:v>DISEÑADO_NO_EJECUTADO</x:v>
      </x:c>
      <x:c r="F115" s="23" t="str">
        <x:v>NO_ACREDITADA</x:v>
      </x:c>
    </x:row>
    <x:row r="116" ht="86" customHeight="1">
      <x:c r="A116" s="16" t="n">
        <x:v>13</x:v>
      </x:c>
      <x:c r="B116" s="16" t="str">
        <x:v>Sofía Montalvo</x:v>
      </x:c>
      <x:c r="C116" s="16" t="str">
        <x:v>Experiencia objetivo</x:v>
      </x:c>
      <x:c r="D116" s="26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116" s="26" t="str">
        <x:v>DISEÑADO_NO_EJECUTADO</x:v>
      </x:c>
      <x:c r="F116" s="26" t="str">
        <x:v>NO_ACREDITADA</x:v>
      </x:c>
    </x:row>
    <x:row r="117" ht="62" customHeight="1">
      <x:c r="A117" s="2" t="n">
        <x:v>13</x:v>
      </x:c>
      <x:c r="B117" s="2" t="str">
        <x:v>Sofía Montalvo</x:v>
      </x:c>
      <x:c r="C117" s="2" t="str">
        <x:v>Experiencia objetivo</x:v>
      </x:c>
      <x:c r="D117" s="23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117" s="23" t="str">
        <x:v>DISEÑADO_NO_EJECUTADO</x:v>
      </x:c>
      <x:c r="F117" s="23" t="str">
        <x:v>NO_ACREDITADA</x:v>
      </x:c>
    </x:row>
    <x:row r="118" ht="38" customHeight="1">
      <x:c r="A118" s="16" t="n">
        <x:v>13</x:v>
      </x:c>
      <x:c r="B118" s="16" t="str">
        <x:v>Sofía Montalvo</x:v>
      </x:c>
      <x:c r="C118" s="16" t="str">
        <x:v>Formación objetivo</x:v>
      </x:c>
      <x:c r="D118" s="26" t="str">
        <x:v>Ruta aspiracional avanzada en entrega. Plan interno ficticio; no universidad real. No título obtenido.
Módulos: Gestión de releases; Control de versiones; Integración continua; Rollback; Verificación de despliegue</x:v>
      </x:c>
      <x:c r="E118" s="26" t="str">
        <x:v>DISEÑADO_NO_EJECUTADO</x:v>
      </x:c>
      <x:c r="F118" s="26" t="str">
        <x:v>NO_ACREDITADA</x:v>
      </x:c>
    </x:row>
    <x:row r="119" ht="38" customHeight="1">
      <x:c r="A119" s="2" t="n">
        <x:v>13</x:v>
      </x:c>
      <x:c r="B119" s="2" t="str">
        <x:v>Sofía Montalvo</x:v>
      </x:c>
      <x:c r="C119" s="2" t="str">
        <x:v>Formación objetivo</x:v>
      </x:c>
      <x:c r="D119" s="23" t="str">
        <x:v>Fundamentos de evidencia, seguridad y ética operativa. Plan interno ficticio. Formación objetivo, pendiente de prueba.
Módulos: Método experimental; Límites de autoridad; Datos no confiables; Revisión independiente</x:v>
      </x:c>
      <x:c r="E119" s="23" t="str">
        <x:v>DISEÑADO_NO_EJECUTADO</x:v>
      </x:c>
      <x:c r="F119" s="23" t="str">
        <x:v>NO_ACREDITADA</x:v>
      </x:c>
    </x:row>
    <x:row r="120" ht="38" customHeight="1">
      <x:c r="A120" s="16" t="n">
        <x:v>13</x:v>
      </x:c>
      <x:c r="B120" s="16" t="str">
        <x:v>Sofía Montalvo</x:v>
      </x:c>
      <x:c r="C120" s="16" t="str">
        <x:v>Certificación objetivo</x:v>
      </x:c>
      <x:c r="D120" s="26" t="str">
        <x:v>Evaluación práctica objetivo de Gestión de releases. No certificación real ni obtenida.
Aceptación: Caso nominal, adversarial, regresión y auditoría de evidencia</x:v>
      </x:c>
      <x:c r="E120" s="26" t="str">
        <x:v>DISEÑADO_NO_EJECUTADO</x:v>
      </x:c>
      <x:c r="F120" s="26" t="str">
        <x:v>NO_ACREDITADA</x:v>
      </x:c>
    </x:row>
    <x:row r="121" ht="38" customHeight="1">
      <x:c r="A121" s="2" t="n">
        <x:v>13</x:v>
      </x:c>
      <x:c r="B121" s="2" t="str">
        <x:v>Sofía Montalvo</x:v>
      </x:c>
      <x:c r="C121" s="2" t="str">
        <x:v>Certificación objetivo</x:v>
      </x:c>
      <x:c r="D121" s="23" t="str">
        <x:v>Evaluación práctica objetivo de Control de versiones. No certificación real ni obtenida.
Aceptación: Caso nominal, adversarial, regresión y auditoría de evidencia</x:v>
      </x:c>
      <x:c r="E121" s="23" t="str">
        <x:v>DISEÑADO_NO_EJECUTADO</x:v>
      </x:c>
      <x:c r="F121" s="23" t="str">
        <x:v>NO_ACREDITADA</x:v>
      </x:c>
    </x:row>
    <x:row r="122" ht="38" customHeight="1">
      <x:c r="A122" s="16" t="n">
        <x:v>13</x:v>
      </x:c>
      <x:c r="B122" s="16" t="str">
        <x:v>Sofía Montalvo</x:v>
      </x:c>
      <x:c r="C122" s="16" t="str">
        <x:v>Certificación objetivo</x:v>
      </x:c>
      <x:c r="D122" s="26" t="str">
        <x:v>Evaluación práctica objetivo de Integración continua. No certificación real ni obtenida.
Aceptación: Caso nominal, adversarial, regresión y auditoría de evidencia</x:v>
      </x:c>
      <x:c r="E122" s="26" t="str">
        <x:v>DISEÑADO_NO_EJECUTADO</x:v>
      </x:c>
      <x:c r="F122" s="26" t="str">
        <x:v>NO_ACREDITADA</x:v>
      </x:c>
    </x:row>
    <x:row r="123" ht="38" customHeight="1">
      <x:c r="A123" s="2" t="n">
        <x:v>14</x:v>
      </x:c>
      <x:c r="B123" s="2" t="str">
        <x:v>Adriana Soler</x:v>
      </x:c>
      <x:c r="C123" s="2" t="str">
        <x:v>Resumen</x:v>
      </x:c>
      <x:c r="D123" s="23" t="str">
        <x:v>Adriana Soler es la identidad narrativa ficticia del rol Ingeniería de datos y persistencia. Perfil objetivo: Conservar exactitud, procedencia y reversibilidad de datos durante captura, transformación y almacenamiento. No hay historial profesional real atribuido.</x:v>
      </x:c>
      <x:c r="E123" s="23" t="str">
        <x:v>DISEÑADO_NO_EJECUTADO</x:v>
      </x:c>
      <x:c r="F123" s="23" t="str">
        <x:v>NO_ACREDITADA</x:v>
      </x:c>
    </x:row>
    <x:row r="124" ht="86" customHeight="1">
      <x:c r="A124" s="16" t="n">
        <x:v>14</x:v>
      </x:c>
      <x:c r="B124" s="16" t="str">
        <x:v>Adriana Soler</x:v>
      </x:c>
      <x:c r="C124" s="16" t="str">
        <x:v>Experiencia objetivo</x:v>
      </x:c>
      <x:c r="D124" s="26" t="str">
        <x:v>Programa aspiracional de datos. Laboratorio simulado de ingeniería; entidad ficticia. Itinerario formativo A, sin años de empleo reales.
Alcance: Conservar exactitud, procedencia y reversibilidad de datos durante captura, transformación y almacenamiento.
Objetivos: Objetivo de portafolio: Schemas versionados e invariantes de persistencia; Objetivo de portafolio: Migración reproducible con backup y rollback
Verificación: No cursado ni demostrado; evaluar con artefactos y casos reproducibles.</x:v>
      </x:c>
      <x:c r="E124" s="26" t="str">
        <x:v>DISEÑADO_NO_EJECUTADO</x:v>
      </x:c>
      <x:c r="F124" s="26" t="str">
        <x:v>NO_ACREDITADA</x:v>
      </x:c>
    </x:row>
    <x:row r="125" ht="86" customHeight="1">
      <x:c r="A125" s="2" t="n">
        <x:v>14</x:v>
      </x:c>
      <x:c r="B125" s="2" t="str">
        <x:v>Adriana Soler</x:v>
      </x:c>
      <x:c r="C125" s="2" t="str">
        <x:v>Experiencia objetivo</x:v>
      </x:c>
      <x:c r="D125" s="23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125" s="23" t="str">
        <x:v>DISEÑADO_NO_EJECUTADO</x:v>
      </x:c>
      <x:c r="F125" s="23" t="str">
        <x:v>NO_ACREDITADA</x:v>
      </x:c>
    </x:row>
    <x:row r="126" ht="62" customHeight="1">
      <x:c r="A126" s="16" t="n">
        <x:v>14</x:v>
      </x:c>
      <x:c r="B126" s="16" t="str">
        <x:v>Adriana Soler</x:v>
      </x:c>
      <x:c r="C126" s="16" t="str">
        <x:v>Experiencia objetivo</x:v>
      </x:c>
      <x:c r="D126" s="26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126" s="26" t="str">
        <x:v>DISEÑADO_NO_EJECUTADO</x:v>
      </x:c>
      <x:c r="F126" s="26" t="str">
        <x:v>NO_ACREDITADA</x:v>
      </x:c>
    </x:row>
    <x:row r="127" ht="38" customHeight="1">
      <x:c r="A127" s="2" t="n">
        <x:v>14</x:v>
      </x:c>
      <x:c r="B127" s="2" t="str">
        <x:v>Adriana Soler</x:v>
      </x:c>
      <x:c r="C127" s="2" t="str">
        <x:v>Formación objetivo</x:v>
      </x:c>
      <x:c r="D127" s="23" t="str">
        <x:v>Ruta aspiracional avanzada en datos. Plan interno ficticio; no universidad real. No título obtenido.
Módulos: Modelado de datos; Migraciones; Calidad de datos; Precisión numérica; Proveniencia de datos</x:v>
      </x:c>
      <x:c r="E127" s="23" t="str">
        <x:v>DISEÑADO_NO_EJECUTADO</x:v>
      </x:c>
      <x:c r="F127" s="23" t="str">
        <x:v>NO_ACREDITADA</x:v>
      </x:c>
    </x:row>
    <x:row r="128" ht="38" customHeight="1">
      <x:c r="A128" s="16" t="n">
        <x:v>14</x:v>
      </x:c>
      <x:c r="B128" s="16" t="str">
        <x:v>Adriana Soler</x:v>
      </x:c>
      <x:c r="C128" s="16" t="str">
        <x:v>Formación objetivo</x:v>
      </x:c>
      <x:c r="D128" s="26" t="str">
        <x:v>Fundamentos de evidencia, seguridad y ética operativa. Plan interno ficticio. Formación objetivo, pendiente de prueba.
Módulos: Método experimental; Límites de autoridad; Datos no confiables; Revisión independiente</x:v>
      </x:c>
      <x:c r="E128" s="26" t="str">
        <x:v>DISEÑADO_NO_EJECUTADO</x:v>
      </x:c>
      <x:c r="F128" s="26" t="str">
        <x:v>NO_ACREDITADA</x:v>
      </x:c>
    </x:row>
    <x:row r="129" ht="38" customHeight="1">
      <x:c r="A129" s="2" t="n">
        <x:v>14</x:v>
      </x:c>
      <x:c r="B129" s="2" t="str">
        <x:v>Adriana Soler</x:v>
      </x:c>
      <x:c r="C129" s="2" t="str">
        <x:v>Certificación objetivo</x:v>
      </x:c>
      <x:c r="D129" s="23" t="str">
        <x:v>Evaluación práctica objetivo de Modelado de datos. No certificación real ni obtenida.
Aceptación: Caso nominal, adversarial, regresión y auditoría de evidencia</x:v>
      </x:c>
      <x:c r="E129" s="23" t="str">
        <x:v>DISEÑADO_NO_EJECUTADO</x:v>
      </x:c>
      <x:c r="F129" s="23" t="str">
        <x:v>NO_ACREDITADA</x:v>
      </x:c>
    </x:row>
    <x:row r="130" ht="38" customHeight="1">
      <x:c r="A130" s="16" t="n">
        <x:v>14</x:v>
      </x:c>
      <x:c r="B130" s="16" t="str">
        <x:v>Adriana Soler</x:v>
      </x:c>
      <x:c r="C130" s="16" t="str">
        <x:v>Certificación objetivo</x:v>
      </x:c>
      <x:c r="D130" s="26" t="str">
        <x:v>Evaluación práctica objetivo de Migraciones. No certificación real ni obtenida.
Aceptación: Caso nominal, adversarial, regresión y auditoría de evidencia</x:v>
      </x:c>
      <x:c r="E130" s="26" t="str">
        <x:v>DISEÑADO_NO_EJECUTADO</x:v>
      </x:c>
      <x:c r="F130" s="26" t="str">
        <x:v>NO_ACREDITADA</x:v>
      </x:c>
    </x:row>
    <x:row r="131" ht="38" customHeight="1">
      <x:c r="A131" s="2" t="n">
        <x:v>14</x:v>
      </x:c>
      <x:c r="B131" s="2" t="str">
        <x:v>Adriana Soler</x:v>
      </x:c>
      <x:c r="C131" s="2" t="str">
        <x:v>Certificación objetivo</x:v>
      </x:c>
      <x:c r="D131" s="23" t="str">
        <x:v>Evaluación práctica objetivo de Calidad de datos. No certificación real ni obtenida.
Aceptación: Caso nominal, adversarial, regresión y auditoría de evidencia</x:v>
      </x:c>
      <x:c r="E131" s="23" t="str">
        <x:v>DISEÑADO_NO_EJECUTADO</x:v>
      </x:c>
      <x:c r="F131" s="23" t="str">
        <x:v>NO_ACREDITADA</x:v>
      </x:c>
    </x:row>
    <x:row r="132" ht="50" customHeight="1">
      <x:c r="A132" s="16" t="n">
        <x:v>15</x:v>
      </x:c>
      <x:c r="B132" s="16" t="str">
        <x:v>Tomás Aranda</x:v>
      </x:c>
      <x:c r="C132" s="16" t="str">
        <x:v>Resumen</x:v>
      </x:c>
      <x:c r="D132" s="26" t="str">
        <x:v>Tomás Aranda es la identidad narrativa ficticia del rol Ingeniería de integraciones. Perfil objetivo: Probar contratos con sistemas externos sin asumir disponibilidad, permisos ni semántica por el nombre de una herramienta. No hay historial profesional real atribuido.</x:v>
      </x:c>
      <x:c r="E132" s="26" t="str">
        <x:v>DISEÑADO_NO_EJECUTADO</x:v>
      </x:c>
      <x:c r="F132" s="26" t="str">
        <x:v>NO_ACREDITADA</x:v>
      </x:c>
    </x:row>
    <x:row r="133" ht="86" customHeight="1">
      <x:c r="A133" s="2" t="n">
        <x:v>15</x:v>
      </x:c>
      <x:c r="B133" s="2" t="str">
        <x:v>Tomás Aranda</x:v>
      </x:c>
      <x:c r="C133" s="2" t="str">
        <x:v>Experiencia objetivo</x:v>
      </x:c>
      <x:c r="D133" s="23" t="str">
        <x:v>Programa aspiracional de plataforma. Laboratorio simulado de ingeniería; entidad ficticia. Itinerario formativo A, sin años de empleo reales.
Alcance: Probar contratos con sistemas externos sin asumir disponibilidad, permisos ni semántica por el nombre de una herramienta.
Objetivos: Objetivo de portafolio: Matriz proveedor, capability, permiso y preflight; Objetivo de portafolio: Adaptadores con límites, timeout, backoff y circuit breaker
Verificación: No cursado ni demostrado; evaluar con artefactos y casos reproducibles.</x:v>
      </x:c>
      <x:c r="E133" s="23" t="str">
        <x:v>DISEÑADO_NO_EJECUTADO</x:v>
      </x:c>
      <x:c r="F133" s="23" t="str">
        <x:v>NO_ACREDITADA</x:v>
      </x:c>
    </x:row>
    <x:row r="134" ht="86" customHeight="1">
      <x:c r="A134" s="16" t="n">
        <x:v>15</x:v>
      </x:c>
      <x:c r="B134" s="16" t="str">
        <x:v>Tomás Aranda</x:v>
      </x:c>
      <x:c r="C134" s="16" t="str">
        <x:v>Experiencia objetivo</x:v>
      </x:c>
      <x:c r="D134" s="26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134" s="26" t="str">
        <x:v>DISEÑADO_NO_EJECUTADO</x:v>
      </x:c>
      <x:c r="F134" s="26" t="str">
        <x:v>NO_ACREDITADA</x:v>
      </x:c>
    </x:row>
    <x:row r="135" ht="62" customHeight="1">
      <x:c r="A135" s="2" t="n">
        <x:v>15</x:v>
      </x:c>
      <x:c r="B135" s="2" t="str">
        <x:v>Tomás Aranda</x:v>
      </x:c>
      <x:c r="C135" s="2" t="str">
        <x:v>Experiencia objetivo</x:v>
      </x:c>
      <x:c r="D135" s="23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135" s="23" t="str">
        <x:v>DISEÑADO_NO_EJECUTADO</x:v>
      </x:c>
      <x:c r="F135" s="23" t="str">
        <x:v>NO_ACREDITADA</x:v>
      </x:c>
    </x:row>
    <x:row r="136" ht="38" customHeight="1">
      <x:c r="A136" s="16" t="n">
        <x:v>15</x:v>
      </x:c>
      <x:c r="B136" s="16" t="str">
        <x:v>Tomás Aranda</x:v>
      </x:c>
      <x:c r="C136" s="16" t="str">
        <x:v>Formación objetivo</x:v>
      </x:c>
      <x:c r="D136" s="26" t="str">
        <x:v>Ruta aspiracional avanzada en plataforma. Plan interno ficticio; no universidad real. No título obtenido.
Módulos: Integraciones externas; Contratos API; Límites y cuotas; Reintentos seguros; Pruebas de contrato</x:v>
      </x:c>
      <x:c r="E136" s="26" t="str">
        <x:v>DISEÑADO_NO_EJECUTADO</x:v>
      </x:c>
      <x:c r="F136" s="26" t="str">
        <x:v>NO_ACREDITADA</x:v>
      </x:c>
    </x:row>
    <x:row r="137" ht="38" customHeight="1">
      <x:c r="A137" s="2" t="n">
        <x:v>15</x:v>
      </x:c>
      <x:c r="B137" s="2" t="str">
        <x:v>Tomás Aranda</x:v>
      </x:c>
      <x:c r="C137" s="2" t="str">
        <x:v>Formación objetivo</x:v>
      </x:c>
      <x:c r="D137" s="23" t="str">
        <x:v>Fundamentos de evidencia, seguridad y ética operativa. Plan interno ficticio. Formación objetivo, pendiente de prueba.
Módulos: Método experimental; Límites de autoridad; Datos no confiables; Revisión independiente</x:v>
      </x:c>
      <x:c r="E137" s="23" t="str">
        <x:v>DISEÑADO_NO_EJECUTADO</x:v>
      </x:c>
      <x:c r="F137" s="23" t="str">
        <x:v>NO_ACREDITADA</x:v>
      </x:c>
    </x:row>
    <x:row r="138" ht="38" customHeight="1">
      <x:c r="A138" s="16" t="n">
        <x:v>15</x:v>
      </x:c>
      <x:c r="B138" s="16" t="str">
        <x:v>Tomás Aranda</x:v>
      </x:c>
      <x:c r="C138" s="16" t="str">
        <x:v>Certificación objetivo</x:v>
      </x:c>
      <x:c r="D138" s="26" t="str">
        <x:v>Evaluación práctica objetivo de Integraciones externas. No certificación real ni obtenida.
Aceptación: Caso nominal, adversarial, regresión y auditoría de evidencia</x:v>
      </x:c>
      <x:c r="E138" s="26" t="str">
        <x:v>DISEÑADO_NO_EJECUTADO</x:v>
      </x:c>
      <x:c r="F138" s="26" t="str">
        <x:v>NO_ACREDITADA</x:v>
      </x:c>
    </x:row>
    <x:row r="139" ht="38" customHeight="1">
      <x:c r="A139" s="2" t="n">
        <x:v>15</x:v>
      </x:c>
      <x:c r="B139" s="2" t="str">
        <x:v>Tomás Aranda</x:v>
      </x:c>
      <x:c r="C139" s="2" t="str">
        <x:v>Certificación objetivo</x:v>
      </x:c>
      <x:c r="D139" s="23" t="str">
        <x:v>Evaluación práctica objetivo de Contratos API. No certificación real ni obtenida.
Aceptación: Caso nominal, adversarial, regresión y auditoría de evidencia</x:v>
      </x:c>
      <x:c r="E139" s="23" t="str">
        <x:v>DISEÑADO_NO_EJECUTADO</x:v>
      </x:c>
      <x:c r="F139" s="23" t="str">
        <x:v>NO_ACREDITADA</x:v>
      </x:c>
    </x:row>
    <x:row r="140" ht="38" customHeight="1">
      <x:c r="A140" s="16" t="n">
        <x:v>15</x:v>
      </x:c>
      <x:c r="B140" s="16" t="str">
        <x:v>Tomás Aranda</x:v>
      </x:c>
      <x:c r="C140" s="16" t="str">
        <x:v>Certificación objetivo</x:v>
      </x:c>
      <x:c r="D140" s="26" t="str">
        <x:v>Evaluación práctica objetivo de Límites y cuotas. No certificación real ni obtenida.
Aceptación: Caso nominal, adversarial, regresión y auditoría de evidencia</x:v>
      </x:c>
      <x:c r="E140" s="26" t="str">
        <x:v>DISEÑADO_NO_EJECUTADO</x:v>
      </x:c>
      <x:c r="F140" s="26" t="str">
        <x:v>NO_ACREDITADA</x:v>
      </x:c>
    </x:row>
    <x:row r="141" ht="50" customHeight="1">
      <x:c r="A141" s="2" t="n">
        <x:v>16</x:v>
      </x:c>
      <x:c r="B141" s="2" t="str">
        <x:v>Diego Cárdenas</x:v>
      </x:c>
      <x:c r="C141" s="2" t="str">
        <x:v>Resumen</x:v>
      </x:c>
      <x:c r="D141" s="23" t="str">
        <x:v>Diego Cárdenas es la identidad narrativa ficticia del rol Ingeniería de contratos y transacciones. Perfil objetivo: Verificar contratos, transiciones y atomicidad sin convertir una simulación exitosa en autorización para operar. No hay historial profesional real atribuido.</x:v>
      </x:c>
      <x:c r="E141" s="23" t="str">
        <x:v>DISEÑADO_NO_EJECUTADO</x:v>
      </x:c>
      <x:c r="F141" s="23" t="str">
        <x:v>NO_ACREDITADA</x:v>
      </x:c>
    </x:row>
    <x:row r="142" ht="86" customHeight="1">
      <x:c r="A142" s="16" t="n">
        <x:v>16</x:v>
      </x:c>
      <x:c r="B142" s="16" t="str">
        <x:v>Diego Cárdenas</x:v>
      </x:c>
      <x:c r="C142" s="16" t="str">
        <x:v>Experiencia objetivo</x:v>
      </x:c>
      <x:c r="D142" s="26" t="str">
        <x:v>Programa aspiracional de seguridad técnica. Laboratorio simulado de ingeniería; entidad ficticia. Itinerario formativo A, sin años de empleo reales.
Alcance: Verificar contratos, transiciones y atomicidad sin convertir una simulación exitosa en autorización para operar.
Objetivos: Objetivo de portafolio: Matriz de funciones, roles, callbacks y precondiciones; Objetivo de portafolio: Pruebas de revert, atomicidad y postcondiciones
Verificación: No cursado ni demostrado; evaluar con artefactos y casos reproducibles.</x:v>
      </x:c>
      <x:c r="E142" s="26" t="str">
        <x:v>DISEÑADO_NO_EJECUTADO</x:v>
      </x:c>
      <x:c r="F142" s="26" t="str">
        <x:v>NO_ACREDITADA</x:v>
      </x:c>
    </x:row>
    <x:row r="143" ht="86" customHeight="1">
      <x:c r="A143" s="2" t="n">
        <x:v>16</x:v>
      </x:c>
      <x:c r="B143" s="2" t="str">
        <x:v>Diego Cárdenas</x:v>
      </x:c>
      <x:c r="C143" s="2" t="str">
        <x:v>Experiencia objetivo</x:v>
      </x:c>
      <x:c r="D143" s="23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143" s="23" t="str">
        <x:v>DISEÑADO_NO_EJECUTADO</x:v>
      </x:c>
      <x:c r="F143" s="23" t="str">
        <x:v>NO_ACREDITADA</x:v>
      </x:c>
    </x:row>
    <x:row r="144" ht="62" customHeight="1">
      <x:c r="A144" s="16" t="n">
        <x:v>16</x:v>
      </x:c>
      <x:c r="B144" s="16" t="str">
        <x:v>Diego Cárdenas</x:v>
      </x:c>
      <x:c r="C144" s="16" t="str">
        <x:v>Experiencia objetivo</x:v>
      </x:c>
      <x:c r="D144" s="26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144" s="26" t="str">
        <x:v>DISEÑADO_NO_EJECUTADO</x:v>
      </x:c>
      <x:c r="F144" s="26" t="str">
        <x:v>NO_ACREDITADA</x:v>
      </x:c>
    </x:row>
    <x:row r="145" ht="38" customHeight="1">
      <x:c r="A145" s="2" t="n">
        <x:v>16</x:v>
      </x:c>
      <x:c r="B145" s="2" t="str">
        <x:v>Diego Cárdenas</x:v>
      </x:c>
      <x:c r="C145" s="2" t="str">
        <x:v>Formación objetivo</x:v>
      </x:c>
      <x:c r="D145" s="23" t="str">
        <x:v>Ruta aspiracional avanzada en seguridad técnica. Plan interno ficticio; no universidad real. No título obtenido.
Módulos: Contratos inteligentes; Atomicidad; Máquinas de estado; Análisis estático; Pruebas de propiedades</x:v>
      </x:c>
      <x:c r="E145" s="23" t="str">
        <x:v>DISEÑADO_NO_EJECUTADO</x:v>
      </x:c>
      <x:c r="F145" s="23" t="str">
        <x:v>NO_ACREDITADA</x:v>
      </x:c>
    </x:row>
    <x:row r="146" ht="38" customHeight="1">
      <x:c r="A146" s="16" t="n">
        <x:v>16</x:v>
      </x:c>
      <x:c r="B146" s="16" t="str">
        <x:v>Diego Cárdenas</x:v>
      </x:c>
      <x:c r="C146" s="16" t="str">
        <x:v>Formación objetivo</x:v>
      </x:c>
      <x:c r="D146" s="26" t="str">
        <x:v>Fundamentos de evidencia, seguridad y ética operativa. Plan interno ficticio. Formación objetivo, pendiente de prueba.
Módulos: Método experimental; Límites de autoridad; Datos no confiables; Revisión independiente</x:v>
      </x:c>
      <x:c r="E146" s="26" t="str">
        <x:v>DISEÑADO_NO_EJECUTADO</x:v>
      </x:c>
      <x:c r="F146" s="26" t="str">
        <x:v>NO_ACREDITADA</x:v>
      </x:c>
    </x:row>
    <x:row r="147" ht="38" customHeight="1">
      <x:c r="A147" s="2" t="n">
        <x:v>16</x:v>
      </x:c>
      <x:c r="B147" s="2" t="str">
        <x:v>Diego Cárdenas</x:v>
      </x:c>
      <x:c r="C147" s="2" t="str">
        <x:v>Certificación objetivo</x:v>
      </x:c>
      <x:c r="D147" s="23" t="str">
        <x:v>Evaluación práctica objetivo de Contratos inteligentes. No certificación real ni obtenida.
Aceptación: Caso nominal, adversarial, regresión y auditoría de evidencia</x:v>
      </x:c>
      <x:c r="E147" s="23" t="str">
        <x:v>DISEÑADO_NO_EJECUTADO</x:v>
      </x:c>
      <x:c r="F147" s="23" t="str">
        <x:v>NO_ACREDITADA</x:v>
      </x:c>
    </x:row>
    <x:row r="148" ht="38" customHeight="1">
      <x:c r="A148" s="16" t="n">
        <x:v>16</x:v>
      </x:c>
      <x:c r="B148" s="16" t="str">
        <x:v>Diego Cárdenas</x:v>
      </x:c>
      <x:c r="C148" s="16" t="str">
        <x:v>Certificación objetivo</x:v>
      </x:c>
      <x:c r="D148" s="26" t="str">
        <x:v>Evaluación práctica objetivo de Atomicidad. No certificación real ni obtenida.
Aceptación: Caso nominal, adversarial, regresión y auditoría de evidencia</x:v>
      </x:c>
      <x:c r="E148" s="26" t="str">
        <x:v>DISEÑADO_NO_EJECUTADO</x:v>
      </x:c>
      <x:c r="F148" s="26" t="str">
        <x:v>NO_ACREDITADA</x:v>
      </x:c>
    </x:row>
    <x:row r="149" ht="38" customHeight="1">
      <x:c r="A149" s="2" t="n">
        <x:v>16</x:v>
      </x:c>
      <x:c r="B149" s="2" t="str">
        <x:v>Diego Cárdenas</x:v>
      </x:c>
      <x:c r="C149" s="2" t="str">
        <x:v>Certificación objetivo</x:v>
      </x:c>
      <x:c r="D149" s="23" t="str">
        <x:v>Evaluación práctica objetivo de Máquinas de estado. No certificación real ni obtenida.
Aceptación: Caso nominal, adversarial, regresión y auditoría de evidencia</x:v>
      </x:c>
      <x:c r="E149" s="23" t="str">
        <x:v>DISEÑADO_NO_EJECUTADO</x:v>
      </x:c>
      <x:c r="F149" s="23" t="str">
        <x:v>NO_ACREDITADA</x:v>
      </x:c>
    </x:row>
    <x:row r="150" ht="50" customHeight="1">
      <x:c r="A150" s="16" t="n">
        <x:v>17</x:v>
      </x:c>
      <x:c r="B150" s="16" t="str">
        <x:v>Clara Beltrán</x:v>
      </x:c>
      <x:c r="C150" s="16" t="str">
        <x:v>Resumen</x:v>
      </x:c>
      <x:c r="D150" s="26" t="str">
        <x:v>Clara Beltrán es la identidad narrativa ficticia del rol Investigación cuantitativa y validación matemática. Perfil objetivo: Comprobar fórmulas, unidades, costes y supuestos con un oráculo independiente y datos trazables. No hay historial profesional real atribuido.</x:v>
      </x:c>
      <x:c r="E150" s="26" t="str">
        <x:v>DISEÑADO_NO_EJECUTADO</x:v>
      </x:c>
      <x:c r="F150" s="26" t="str">
        <x:v>NO_ACREDITADA</x:v>
      </x:c>
    </x:row>
    <x:row r="151" ht="86" customHeight="1">
      <x:c r="A151" s="2" t="n">
        <x:v>17</x:v>
      </x:c>
      <x:c r="B151" s="2" t="str">
        <x:v>Clara Beltrán</x:v>
      </x:c>
      <x:c r="C151" s="2" t="str">
        <x:v>Experiencia objetivo</x:v>
      </x:c>
      <x:c r="D151" s="23" t="str">
        <x:v>Programa aspiracional de investigación. Laboratorio simulado de ingeniería; entidad ficticia. Itinerario formativo A, sin años de empleo reales.
Alcance: Comprobar fórmulas, unidades, costes y supuestos con un oráculo independiente y datos trazables.
Objetivos: Objetivo de portafolio: Especificación de fórmulas con unidades, supuestos y límites; Objetivo de portafolio: Casos numéricos manuales y oráculo independiente
Verificación: No cursado ni demostrado; evaluar con artefactos y casos reproducibles.</x:v>
      </x:c>
      <x:c r="E151" s="23" t="str">
        <x:v>DISEÑADO_NO_EJECUTADO</x:v>
      </x:c>
      <x:c r="F151" s="23" t="str">
        <x:v>NO_ACREDITADA</x:v>
      </x:c>
    </x:row>
    <x:row r="152" ht="86" customHeight="1">
      <x:c r="A152" s="16" t="n">
        <x:v>17</x:v>
      </x:c>
      <x:c r="B152" s="16" t="str">
        <x:v>Clara Beltrán</x:v>
      </x:c>
      <x:c r="C152" s="16" t="str">
        <x:v>Experiencia objetivo</x:v>
      </x:c>
      <x:c r="D152" s="26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152" s="26" t="str">
        <x:v>DISEÑADO_NO_EJECUTADO</x:v>
      </x:c>
      <x:c r="F152" s="26" t="str">
        <x:v>NO_ACREDITADA</x:v>
      </x:c>
    </x:row>
    <x:row r="153" ht="62" customHeight="1">
      <x:c r="A153" s="2" t="n">
        <x:v>17</x:v>
      </x:c>
      <x:c r="B153" s="2" t="str">
        <x:v>Clara Beltrán</x:v>
      </x:c>
      <x:c r="C153" s="2" t="str">
        <x:v>Experiencia objetivo</x:v>
      </x:c>
      <x:c r="D153" s="23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153" s="23" t="str">
        <x:v>DISEÑADO_NO_EJECUTADO</x:v>
      </x:c>
      <x:c r="F153" s="23" t="str">
        <x:v>NO_ACREDITADA</x:v>
      </x:c>
    </x:row>
    <x:row r="154" ht="38" customHeight="1">
      <x:c r="A154" s="16" t="n">
        <x:v>17</x:v>
      </x:c>
      <x:c r="B154" s="16" t="str">
        <x:v>Clara Beltrán</x:v>
      </x:c>
      <x:c r="C154" s="16" t="str">
        <x:v>Formación objetivo</x:v>
      </x:c>
      <x:c r="D154" s="26" t="str">
        <x:v>Ruta aspiracional avanzada en investigación. Plan interno ficticio; no universidad real. No título obtenido.
Módulos: Validación matemática; Análisis dimensional; Estadística; Optimización; Precisión numérica</x:v>
      </x:c>
      <x:c r="E154" s="26" t="str">
        <x:v>DISEÑADO_NO_EJECUTADO</x:v>
      </x:c>
      <x:c r="F154" s="26" t="str">
        <x:v>NO_ACREDITADA</x:v>
      </x:c>
    </x:row>
    <x:row r="155" ht="38" customHeight="1">
      <x:c r="A155" s="2" t="n">
        <x:v>17</x:v>
      </x:c>
      <x:c r="B155" s="2" t="str">
        <x:v>Clara Beltrán</x:v>
      </x:c>
      <x:c r="C155" s="2" t="str">
        <x:v>Formación objetivo</x:v>
      </x:c>
      <x:c r="D155" s="23" t="str">
        <x:v>Fundamentos de evidencia, seguridad y ética operativa. Plan interno ficticio. Formación objetivo, pendiente de prueba.
Módulos: Método experimental; Límites de autoridad; Datos no confiables; Revisión independiente</x:v>
      </x:c>
      <x:c r="E155" s="23" t="str">
        <x:v>DISEÑADO_NO_EJECUTADO</x:v>
      </x:c>
      <x:c r="F155" s="23" t="str">
        <x:v>NO_ACREDITADA</x:v>
      </x:c>
    </x:row>
    <x:row r="156" ht="38" customHeight="1">
      <x:c r="A156" s="16" t="n">
        <x:v>17</x:v>
      </x:c>
      <x:c r="B156" s="16" t="str">
        <x:v>Clara Beltrán</x:v>
      </x:c>
      <x:c r="C156" s="16" t="str">
        <x:v>Certificación objetivo</x:v>
      </x:c>
      <x:c r="D156" s="26" t="str">
        <x:v>Evaluación práctica objetivo de Validación matemática. No certificación real ni obtenida.
Aceptación: Caso nominal, adversarial, regresión y auditoría de evidencia</x:v>
      </x:c>
      <x:c r="E156" s="26" t="str">
        <x:v>DISEÑADO_NO_EJECUTADO</x:v>
      </x:c>
      <x:c r="F156" s="26" t="str">
        <x:v>NO_ACREDITADA</x:v>
      </x:c>
    </x:row>
    <x:row r="157" ht="38" customHeight="1">
      <x:c r="A157" s="2" t="n">
        <x:v>17</x:v>
      </x:c>
      <x:c r="B157" s="2" t="str">
        <x:v>Clara Beltrán</x:v>
      </x:c>
      <x:c r="C157" s="2" t="str">
        <x:v>Certificación objetivo</x:v>
      </x:c>
      <x:c r="D157" s="23" t="str">
        <x:v>Evaluación práctica objetivo de Análisis dimensional. No certificación real ni obtenida.
Aceptación: Caso nominal, adversarial, regresión y auditoría de evidencia</x:v>
      </x:c>
      <x:c r="E157" s="23" t="str">
        <x:v>DISEÑADO_NO_EJECUTADO</x:v>
      </x:c>
      <x:c r="F157" s="23" t="str">
        <x:v>NO_ACREDITADA</x:v>
      </x:c>
    </x:row>
    <x:row r="158" ht="38" customHeight="1">
      <x:c r="A158" s="16" t="n">
        <x:v>17</x:v>
      </x:c>
      <x:c r="B158" s="16" t="str">
        <x:v>Clara Beltrán</x:v>
      </x:c>
      <x:c r="C158" s="16" t="str">
        <x:v>Certificación objetivo</x:v>
      </x:c>
      <x:c r="D158" s="26" t="str">
        <x:v>Evaluación práctica objetivo de Estadística. No certificación real ni obtenida.
Aceptación: Caso nominal, adversarial, regresión y auditoría de evidencia</x:v>
      </x:c>
      <x:c r="E158" s="26" t="str">
        <x:v>DISEÑADO_NO_EJECUTADO</x:v>
      </x:c>
      <x:c r="F158" s="26" t="str">
        <x:v>NO_ACREDITADA</x:v>
      </x:c>
    </x:row>
    <x:row r="159" ht="38" customHeight="1">
      <x:c r="A159" s="2" t="n">
        <x:v>18</x:v>
      </x:c>
      <x:c r="B159" s="2" t="str">
        <x:v>Marina Duarte</x:v>
      </x:c>
      <x:c r="C159" s="2" t="str">
        <x:v>Resumen</x:v>
      </x:c>
      <x:c r="D159" s="23" t="str">
        <x:v>Marina Duarte es la identidad narrativa ficticia del rol Ingeniería de grafos y búsqueda. Perfil objetivo: Verificar que búsqueda, poda y ranking conservan soluciones válidas bajo cambios de datos y presupuesto. No hay historial profesional real atribuido.</x:v>
      </x:c>
      <x:c r="E159" s="23" t="str">
        <x:v>DISEÑADO_NO_EJECUTADO</x:v>
      </x:c>
      <x:c r="F159" s="23" t="str">
        <x:v>NO_ACREDITADA</x:v>
      </x:c>
    </x:row>
    <x:row r="160" ht="86" customHeight="1">
      <x:c r="A160" s="16" t="n">
        <x:v>18</x:v>
      </x:c>
      <x:c r="B160" s="16" t="str">
        <x:v>Marina Duarte</x:v>
      </x:c>
      <x:c r="C160" s="16" t="str">
        <x:v>Experiencia objetivo</x:v>
      </x:c>
      <x:c r="D160" s="26" t="str">
        <x:v>Programa aspiracional de algoritmos. Laboratorio simulado de ingeniería; entidad ficticia. Itinerario formativo A, sin años de empleo reales.
Alcance: Verificar que búsqueda, poda y ranking conservan soluciones válidas bajo cambios de datos y presupuesto.
Objetivos: Objetivo de portafolio: Modelo de grafo y reglas de actualización; Objetivo de portafolio: Oráculo exhaustivo en instancias pequeñas
Verificación: No cursado ni demostrado; evaluar con artefactos y casos reproducibles.</x:v>
      </x:c>
      <x:c r="E160" s="26" t="str">
        <x:v>DISEÑADO_NO_EJECUTADO</x:v>
      </x:c>
      <x:c r="F160" s="26" t="str">
        <x:v>NO_ACREDITADA</x:v>
      </x:c>
    </x:row>
    <x:row r="161" ht="86" customHeight="1">
      <x:c r="A161" s="2" t="n">
        <x:v>18</x:v>
      </x:c>
      <x:c r="B161" s="2" t="str">
        <x:v>Marina Duarte</x:v>
      </x:c>
      <x:c r="C161" s="2" t="str">
        <x:v>Experiencia objetivo</x:v>
      </x:c>
      <x:c r="D161" s="23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161" s="23" t="str">
        <x:v>DISEÑADO_NO_EJECUTADO</x:v>
      </x:c>
      <x:c r="F161" s="23" t="str">
        <x:v>NO_ACREDITADA</x:v>
      </x:c>
    </x:row>
    <x:row r="162" ht="62" customHeight="1">
      <x:c r="A162" s="16" t="n">
        <x:v>18</x:v>
      </x:c>
      <x:c r="B162" s="16" t="str">
        <x:v>Marina Duarte</x:v>
      </x:c>
      <x:c r="C162" s="16" t="str">
        <x:v>Experiencia objetivo</x:v>
      </x:c>
      <x:c r="D162" s="26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162" s="26" t="str">
        <x:v>DISEÑADO_NO_EJECUTADO</x:v>
      </x:c>
      <x:c r="F162" s="26" t="str">
        <x:v>NO_ACREDITADA</x:v>
      </x:c>
    </x:row>
    <x:row r="163" ht="38" customHeight="1">
      <x:c r="A163" s="2" t="n">
        <x:v>18</x:v>
      </x:c>
      <x:c r="B163" s="2" t="str">
        <x:v>Marina Duarte</x:v>
      </x:c>
      <x:c r="C163" s="2" t="str">
        <x:v>Formación objetivo</x:v>
      </x:c>
      <x:c r="D163" s="23" t="str">
        <x:v>Ruta aspiracional avanzada en algoritmos. Plan interno ficticio; no universidad real. No título obtenido.
Módulos: Algoritmos de grafos; Búsqueda; Optimización; Consistencia de snapshots; Pruebas de propiedades</x:v>
      </x:c>
      <x:c r="E163" s="23" t="str">
        <x:v>DISEÑADO_NO_EJECUTADO</x:v>
      </x:c>
      <x:c r="F163" s="23" t="str">
        <x:v>NO_ACREDITADA</x:v>
      </x:c>
    </x:row>
    <x:row r="164" ht="38" customHeight="1">
      <x:c r="A164" s="16" t="n">
        <x:v>18</x:v>
      </x:c>
      <x:c r="B164" s="16" t="str">
        <x:v>Marina Duarte</x:v>
      </x:c>
      <x:c r="C164" s="16" t="str">
        <x:v>Formación objetivo</x:v>
      </x:c>
      <x:c r="D164" s="26" t="str">
        <x:v>Fundamentos de evidencia, seguridad y ética operativa. Plan interno ficticio. Formación objetivo, pendiente de prueba.
Módulos: Método experimental; Límites de autoridad; Datos no confiables; Revisión independiente</x:v>
      </x:c>
      <x:c r="E164" s="26" t="str">
        <x:v>DISEÑADO_NO_EJECUTADO</x:v>
      </x:c>
      <x:c r="F164" s="26" t="str">
        <x:v>NO_ACREDITADA</x:v>
      </x:c>
    </x:row>
    <x:row r="165" ht="38" customHeight="1">
      <x:c r="A165" s="2" t="n">
        <x:v>18</x:v>
      </x:c>
      <x:c r="B165" s="2" t="str">
        <x:v>Marina Duarte</x:v>
      </x:c>
      <x:c r="C165" s="2" t="str">
        <x:v>Certificación objetivo</x:v>
      </x:c>
      <x:c r="D165" s="23" t="str">
        <x:v>Evaluación práctica objetivo de Algoritmos de grafos. No certificación real ni obtenida.
Aceptación: Caso nominal, adversarial, regresión y auditoría de evidencia</x:v>
      </x:c>
      <x:c r="E165" s="23" t="str">
        <x:v>DISEÑADO_NO_EJECUTADO</x:v>
      </x:c>
      <x:c r="F165" s="23" t="str">
        <x:v>NO_ACREDITADA</x:v>
      </x:c>
    </x:row>
    <x:row r="166" ht="38" customHeight="1">
      <x:c r="A166" s="16" t="n">
        <x:v>18</x:v>
      </x:c>
      <x:c r="B166" s="16" t="str">
        <x:v>Marina Duarte</x:v>
      </x:c>
      <x:c r="C166" s="16" t="str">
        <x:v>Certificación objetivo</x:v>
      </x:c>
      <x:c r="D166" s="26" t="str">
        <x:v>Evaluación práctica objetivo de Búsqueda. No certificación real ni obtenida.
Aceptación: Caso nominal, adversarial, regresión y auditoría de evidencia</x:v>
      </x:c>
      <x:c r="E166" s="26" t="str">
        <x:v>DISEÑADO_NO_EJECUTADO</x:v>
      </x:c>
      <x:c r="F166" s="26" t="str">
        <x:v>NO_ACREDITADA</x:v>
      </x:c>
    </x:row>
    <x:row r="167" ht="38" customHeight="1">
      <x:c r="A167" s="2" t="n">
        <x:v>18</x:v>
      </x:c>
      <x:c r="B167" s="2" t="str">
        <x:v>Marina Duarte</x:v>
      </x:c>
      <x:c r="C167" s="2" t="str">
        <x:v>Certificación objetivo</x:v>
      </x:c>
      <x:c r="D167" s="23" t="str">
        <x:v>Evaluación práctica objetivo de Optimización. No certificación real ni obtenida.
Aceptación: Caso nominal, adversarial, regresión y auditoría de evidencia</x:v>
      </x:c>
      <x:c r="E167" s="23" t="str">
        <x:v>DISEÑADO_NO_EJECUTADO</x:v>
      </x:c>
      <x:c r="F167" s="23" t="str">
        <x:v>NO_ACREDITADA</x:v>
      </x:c>
    </x:row>
    <x:row r="168" ht="50" customHeight="1">
      <x:c r="A168" s="16" t="n">
        <x:v>19</x:v>
      </x:c>
      <x:c r="B168" s="16" t="str">
        <x:v>Pablo Alarcón</x:v>
      </x:c>
      <x:c r="C168" s="16" t="str">
        <x:v>Resumen</x:v>
      </x:c>
      <x:c r="D168" s="26" t="str">
        <x:v>Pablo Alarcón es la identidad narrativa ficticia del rol Investigación de sistemas y escenarios. Perfil objetivo: Modelar condiciones externas, escenarios adversos y límites del dominio sin fabricar resultados económicos. No hay historial profesional real atribuido.</x:v>
      </x:c>
      <x:c r="E168" s="26" t="str">
        <x:v>DISEÑADO_NO_EJECUTADO</x:v>
      </x:c>
      <x:c r="F168" s="26" t="str">
        <x:v>NO_ACREDITADA</x:v>
      </x:c>
    </x:row>
    <x:row r="169" ht="86" customHeight="1">
      <x:c r="A169" s="2" t="n">
        <x:v>19</x:v>
      </x:c>
      <x:c r="B169" s="2" t="str">
        <x:v>Pablo Alarcón</x:v>
      </x:c>
      <x:c r="C169" s="2" t="str">
        <x:v>Experiencia objetivo</x:v>
      </x:c>
      <x:c r="D169" s="23" t="str">
        <x:v>Programa aspiracional de investigación. Laboratorio simulado de ingeniería; entidad ficticia. Itinerario formativo A, sin años de empleo reales.
Alcance: Modelar condiciones externas, escenarios adversos y límites del dominio sin fabricar resultados económicos.
Objetivos: Objetivo de portafolio: Escenarios con supuestos, origen y validez temporal; Objetivo de portafolio: Modelo de costes, fricción y restricciones del dominio
Verificación: No cursado ni demostrado; evaluar con artefactos y casos reproducibles.</x:v>
      </x:c>
      <x:c r="E169" s="23" t="str">
        <x:v>DISEÑADO_NO_EJECUTADO</x:v>
      </x:c>
      <x:c r="F169" s="23" t="str">
        <x:v>NO_ACREDITADA</x:v>
      </x:c>
    </x:row>
    <x:row r="170" ht="86" customHeight="1">
      <x:c r="A170" s="16" t="n">
        <x:v>19</x:v>
      </x:c>
      <x:c r="B170" s="16" t="str">
        <x:v>Pablo Alarcón</x:v>
      </x:c>
      <x:c r="C170" s="16" t="str">
        <x:v>Experiencia objetivo</x:v>
      </x:c>
      <x:c r="D170" s="26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170" s="26" t="str">
        <x:v>DISEÑADO_NO_EJECUTADO</x:v>
      </x:c>
      <x:c r="F170" s="26" t="str">
        <x:v>NO_ACREDITADA</x:v>
      </x:c>
    </x:row>
    <x:row r="171" ht="62" customHeight="1">
      <x:c r="A171" s="2" t="n">
        <x:v>19</x:v>
      </x:c>
      <x:c r="B171" s="2" t="str">
        <x:v>Pablo Alarcón</x:v>
      </x:c>
      <x:c r="C171" s="2" t="str">
        <x:v>Experiencia objetivo</x:v>
      </x:c>
      <x:c r="D171" s="23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171" s="23" t="str">
        <x:v>DISEÑADO_NO_EJECUTADO</x:v>
      </x:c>
      <x:c r="F171" s="23" t="str">
        <x:v>NO_ACREDITADA</x:v>
      </x:c>
    </x:row>
    <x:row r="172" ht="38" customHeight="1">
      <x:c r="A172" s="16" t="n">
        <x:v>19</x:v>
      </x:c>
      <x:c r="B172" s="16" t="str">
        <x:v>Pablo Alarcón</x:v>
      </x:c>
      <x:c r="C172" s="16" t="str">
        <x:v>Formación objetivo</x:v>
      </x:c>
      <x:c r="D172" s="26" t="str">
        <x:v>Ruta aspiracional avanzada en investigación. Plan interno ficticio; no universidad real. No título obtenido.
Módulos: Modelado de escenarios; Microestructura de mercados; Estadística; Riesgo de inventario; Análisis de sensibilidad</x:v>
      </x:c>
      <x:c r="E172" s="26" t="str">
        <x:v>DISEÑADO_NO_EJECUTADO</x:v>
      </x:c>
      <x:c r="F172" s="26" t="str">
        <x:v>NO_ACREDITADA</x:v>
      </x:c>
    </x:row>
    <x:row r="173" ht="38" customHeight="1">
      <x:c r="A173" s="2" t="n">
        <x:v>19</x:v>
      </x:c>
      <x:c r="B173" s="2" t="str">
        <x:v>Pablo Alarcón</x:v>
      </x:c>
      <x:c r="C173" s="2" t="str">
        <x:v>Formación objetivo</x:v>
      </x:c>
      <x:c r="D173" s="23" t="str">
        <x:v>Fundamentos de evidencia, seguridad y ética operativa. Plan interno ficticio. Formación objetivo, pendiente de prueba.
Módulos: Método experimental; Límites de autoridad; Datos no confiables; Revisión independiente</x:v>
      </x:c>
      <x:c r="E173" s="23" t="str">
        <x:v>DISEÑADO_NO_EJECUTADO</x:v>
      </x:c>
      <x:c r="F173" s="23" t="str">
        <x:v>NO_ACREDITADA</x:v>
      </x:c>
    </x:row>
    <x:row r="174" ht="38" customHeight="1">
      <x:c r="A174" s="16" t="n">
        <x:v>19</x:v>
      </x:c>
      <x:c r="B174" s="16" t="str">
        <x:v>Pablo Alarcón</x:v>
      </x:c>
      <x:c r="C174" s="16" t="str">
        <x:v>Certificación objetivo</x:v>
      </x:c>
      <x:c r="D174" s="26" t="str">
        <x:v>Evaluación práctica objetivo de Modelado de escenarios. No certificación real ni obtenida.
Aceptación: Caso nominal, adversarial, regresión y auditoría de evidencia</x:v>
      </x:c>
      <x:c r="E174" s="26" t="str">
        <x:v>DISEÑADO_NO_EJECUTADO</x:v>
      </x:c>
      <x:c r="F174" s="26" t="str">
        <x:v>NO_ACREDITADA</x:v>
      </x:c>
    </x:row>
    <x:row r="175" ht="38" customHeight="1">
      <x:c r="A175" s="2" t="n">
        <x:v>19</x:v>
      </x:c>
      <x:c r="B175" s="2" t="str">
        <x:v>Pablo Alarcón</x:v>
      </x:c>
      <x:c r="C175" s="2" t="str">
        <x:v>Certificación objetivo</x:v>
      </x:c>
      <x:c r="D175" s="23" t="str">
        <x:v>Evaluación práctica objetivo de Microestructura de mercados. No certificación real ni obtenida.
Aceptación: Caso nominal, adversarial, regresión y auditoría de evidencia</x:v>
      </x:c>
      <x:c r="E175" s="23" t="str">
        <x:v>DISEÑADO_NO_EJECUTADO</x:v>
      </x:c>
      <x:c r="F175" s="23" t="str">
        <x:v>NO_ACREDITADA</x:v>
      </x:c>
    </x:row>
    <x:row r="176" ht="38" customHeight="1">
      <x:c r="A176" s="16" t="n">
        <x:v>19</x:v>
      </x:c>
      <x:c r="B176" s="16" t="str">
        <x:v>Pablo Alarcón</x:v>
      </x:c>
      <x:c r="C176" s="16" t="str">
        <x:v>Certificación objetivo</x:v>
      </x:c>
      <x:c r="D176" s="26" t="str">
        <x:v>Evaluación práctica objetivo de Estadística. No certificación real ni obtenida.
Aceptación: Caso nominal, adversarial, regresión y auditoría de evidencia</x:v>
      </x:c>
      <x:c r="E176" s="26" t="str">
        <x:v>DISEÑADO_NO_EJECUTADO</x:v>
      </x:c>
      <x:c r="F176" s="26" t="str">
        <x:v>NO_ACREDITADA</x:v>
      </x:c>
    </x:row>
    <x:row r="177" ht="50" customHeight="1">
      <x:c r="A177" s="2" t="n">
        <x:v>20</x:v>
      </x:c>
      <x:c r="B177" s="2" t="str">
        <x:v>Bruno Calderón</x:v>
      </x:c>
      <x:c r="C177" s="2" t="str">
        <x:v>Resumen</x:v>
      </x:c>
      <x:c r="D177" s="23" t="str">
        <x:v>Bruno Calderón es la identidad narrativa ficticia del rol Ingeniería de navegador y recorridos E2E. Perfil objetivo: Verificar journeys de usuario con navegador aislado, datos controlados y evidencia suficiente para reproducir. No hay historial profesional real atribuido.</x:v>
      </x:c>
      <x:c r="E177" s="23" t="str">
        <x:v>DISEÑADO_NO_EJECUTADO</x:v>
      </x:c>
      <x:c r="F177" s="23" t="str">
        <x:v>NO_ACREDITADA</x:v>
      </x:c>
    </x:row>
    <x:row r="178" ht="86" customHeight="1">
      <x:c r="A178" s="16" t="n">
        <x:v>20</x:v>
      </x:c>
      <x:c r="B178" s="16" t="str">
        <x:v>Bruno Calderón</x:v>
      </x:c>
      <x:c r="C178" s="16" t="str">
        <x:v>Experiencia objetivo</x:v>
      </x:c>
      <x:c r="D178" s="26" t="str">
        <x:v>Programa aspiracional de calidad. Laboratorio simulado de ingeniería; entidad ficticia. Itinerario formativo A, sin años de empleo reales.
Alcance: Verificar journeys de usuario con navegador aislado, datos controlados y evidencia suficiente para reproducir.
Objetivos: Objetivo de portafolio: Harness con contextos, puertos y fixtures independientes; Objetivo de portafolio: Journeys de éxito, fallo, cancelación, reintento y refresh
Verificación: No cursado ni demostrado; evaluar con artefactos y casos reproducibles.</x:v>
      </x:c>
      <x:c r="E178" s="26" t="str">
        <x:v>DISEÑADO_NO_EJECUTADO</x:v>
      </x:c>
      <x:c r="F178" s="26" t="str">
        <x:v>NO_ACREDITADA</x:v>
      </x:c>
    </x:row>
    <x:row r="179" ht="86" customHeight="1">
      <x:c r="A179" s="2" t="n">
        <x:v>20</x:v>
      </x:c>
      <x:c r="B179" s="2" t="str">
        <x:v>Bruno Calderón</x:v>
      </x:c>
      <x:c r="C179" s="2" t="str">
        <x:v>Experiencia objetivo</x:v>
      </x:c>
      <x:c r="D179" s="23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179" s="23" t="str">
        <x:v>DISEÑADO_NO_EJECUTADO</x:v>
      </x:c>
      <x:c r="F179" s="23" t="str">
        <x:v>NO_ACREDITADA</x:v>
      </x:c>
    </x:row>
    <x:row r="180" ht="62" customHeight="1">
      <x:c r="A180" s="16" t="n">
        <x:v>20</x:v>
      </x:c>
      <x:c r="B180" s="16" t="str">
        <x:v>Bruno Calderón</x:v>
      </x:c>
      <x:c r="C180" s="16" t="str">
        <x:v>Experiencia objetivo</x:v>
      </x:c>
      <x:c r="D180" s="26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180" s="26" t="str">
        <x:v>DISEÑADO_NO_EJECUTADO</x:v>
      </x:c>
      <x:c r="F180" s="26" t="str">
        <x:v>NO_ACREDITADA</x:v>
      </x:c>
    </x:row>
    <x:row r="181" ht="38" customHeight="1">
      <x:c r="A181" s="2" t="n">
        <x:v>20</x:v>
      </x:c>
      <x:c r="B181" s="2" t="str">
        <x:v>Bruno Calderón</x:v>
      </x:c>
      <x:c r="C181" s="2" t="str">
        <x:v>Formación objetivo</x:v>
      </x:c>
      <x:c r="D181" s="23" t="str">
        <x:v>Ruta aspiracional avanzada en calidad. Plan interno ficticio; no universidad real. No título obtenido.
Módulos: Automatización de navegador; Pruebas E2E; Accesibilidad; Aislamiento de sesiones; Captura de evidencia</x:v>
      </x:c>
      <x:c r="E181" s="23" t="str">
        <x:v>DISEÑADO_NO_EJECUTADO</x:v>
      </x:c>
      <x:c r="F181" s="23" t="str">
        <x:v>NO_ACREDITADA</x:v>
      </x:c>
    </x:row>
    <x:row r="182" ht="38" customHeight="1">
      <x:c r="A182" s="16" t="n">
        <x:v>20</x:v>
      </x:c>
      <x:c r="B182" s="16" t="str">
        <x:v>Bruno Calderón</x:v>
      </x:c>
      <x:c r="C182" s="16" t="str">
        <x:v>Formación objetivo</x:v>
      </x:c>
      <x:c r="D182" s="26" t="str">
        <x:v>Fundamentos de evidencia, seguridad y ética operativa. Plan interno ficticio. Formación objetivo, pendiente de prueba.
Módulos: Método experimental; Límites de autoridad; Datos no confiables; Revisión independiente</x:v>
      </x:c>
      <x:c r="E182" s="26" t="str">
        <x:v>DISEÑADO_NO_EJECUTADO</x:v>
      </x:c>
      <x:c r="F182" s="26" t="str">
        <x:v>NO_ACREDITADA</x:v>
      </x:c>
    </x:row>
    <x:row r="183" ht="38" customHeight="1">
      <x:c r="A183" s="2" t="n">
        <x:v>20</x:v>
      </x:c>
      <x:c r="B183" s="2" t="str">
        <x:v>Bruno Calderón</x:v>
      </x:c>
      <x:c r="C183" s="2" t="str">
        <x:v>Certificación objetivo</x:v>
      </x:c>
      <x:c r="D183" s="23" t="str">
        <x:v>Evaluación práctica objetivo de Automatización de navegador. No certificación real ni obtenida.
Aceptación: Caso nominal, adversarial, regresión y auditoría de evidencia</x:v>
      </x:c>
      <x:c r="E183" s="23" t="str">
        <x:v>DISEÑADO_NO_EJECUTADO</x:v>
      </x:c>
      <x:c r="F183" s="23" t="str">
        <x:v>NO_ACREDITADA</x:v>
      </x:c>
    </x:row>
    <x:row r="184" ht="38" customHeight="1">
      <x:c r="A184" s="16" t="n">
        <x:v>20</x:v>
      </x:c>
      <x:c r="B184" s="16" t="str">
        <x:v>Bruno Calderón</x:v>
      </x:c>
      <x:c r="C184" s="16" t="str">
        <x:v>Certificación objetivo</x:v>
      </x:c>
      <x:c r="D184" s="26" t="str">
        <x:v>Evaluación práctica objetivo de Pruebas E2E. No certificación real ni obtenida.
Aceptación: Caso nominal, adversarial, regresión y auditoría de evidencia</x:v>
      </x:c>
      <x:c r="E184" s="26" t="str">
        <x:v>DISEÑADO_NO_EJECUTADO</x:v>
      </x:c>
      <x:c r="F184" s="26" t="str">
        <x:v>NO_ACREDITADA</x:v>
      </x:c>
    </x:row>
    <x:row r="185" ht="38" customHeight="1">
      <x:c r="A185" s="2" t="n">
        <x:v>20</x:v>
      </x:c>
      <x:c r="B185" s="2" t="str">
        <x:v>Bruno Calderón</x:v>
      </x:c>
      <x:c r="C185" s="2" t="str">
        <x:v>Certificación objetivo</x:v>
      </x:c>
      <x:c r="D185" s="23" t="str">
        <x:v>Evaluación práctica objetivo de Accesibilidad. No certificación real ni obtenida.
Aceptación: Caso nominal, adversarial, regresión y auditoría de evidencia</x:v>
      </x:c>
      <x:c r="E185" s="23" t="str">
        <x:v>DISEÑADO_NO_EJECUTADO</x:v>
      </x:c>
      <x:c r="F185" s="23" t="str">
        <x:v>NO_ACREDITADA</x:v>
      </x:c>
    </x:row>
    <x:row r="186" ht="50" customHeight="1">
      <x:c r="A186" s="16" t="n">
        <x:v>21</x:v>
      </x:c>
      <x:c r="B186" s="16" t="str">
        <x:v>Natalia Sanz</x:v>
      </x:c>
      <x:c r="C186" s="16" t="str">
        <x:v>Resumen</x:v>
      </x:c>
      <x:c r="D186" s="26" t="str">
        <x:v>Natalia Sanz es la identidad narrativa ficticia del rol Ingeniería de paridad y compatibilidad. Perfil objetivo: Demostrar similitudes y diferencias entre modos, versiones y entornos sin confundir mock con capacidad real. No hay historial profesional real atribuido.</x:v>
      </x:c>
      <x:c r="E186" s="26" t="str">
        <x:v>DISEÑADO_NO_EJECUTADO</x:v>
      </x:c>
      <x:c r="F186" s="26" t="str">
        <x:v>NO_ACREDITADA</x:v>
      </x:c>
    </x:row>
    <x:row r="187" ht="86" customHeight="1">
      <x:c r="A187" s="2" t="n">
        <x:v>21</x:v>
      </x:c>
      <x:c r="B187" s="2" t="str">
        <x:v>Natalia Sanz</x:v>
      </x:c>
      <x:c r="C187" s="2" t="str">
        <x:v>Experiencia objetivo</x:v>
      </x:c>
      <x:c r="D187" s="23" t="str">
        <x:v>Programa aspiracional de calidad. Laboratorio simulado de ingeniería; entidad ficticia. Itinerario formativo A, sin años de empleo reales.
Alcance: Demostrar similitudes y diferencias entre modos, versiones y entornos sin confundir mock con capacidad real.
Objetivos: Objetivo de portafolio: Matriz capacidad × modo × entorno con evidencia; Objetivo de portafolio: Pruebas diferenciales de invariantes y resultados
Verificación: No cursado ni demostrado; evaluar con artefactos y casos reproducibles.</x:v>
      </x:c>
      <x:c r="E187" s="23" t="str">
        <x:v>DISEÑADO_NO_EJECUTADO</x:v>
      </x:c>
      <x:c r="F187" s="23" t="str">
        <x:v>NO_ACREDITADA</x:v>
      </x:c>
    </x:row>
    <x:row r="188" ht="86" customHeight="1">
      <x:c r="A188" s="16" t="n">
        <x:v>21</x:v>
      </x:c>
      <x:c r="B188" s="16" t="str">
        <x:v>Natalia Sanz</x:v>
      </x:c>
      <x:c r="C188" s="16" t="str">
        <x:v>Experiencia objetivo</x:v>
      </x:c>
      <x:c r="D188" s="26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188" s="26" t="str">
        <x:v>DISEÑADO_NO_EJECUTADO</x:v>
      </x:c>
      <x:c r="F188" s="26" t="str">
        <x:v>NO_ACREDITADA</x:v>
      </x:c>
    </x:row>
    <x:row r="189" ht="62" customHeight="1">
      <x:c r="A189" s="2" t="n">
        <x:v>21</x:v>
      </x:c>
      <x:c r="B189" s="2" t="str">
        <x:v>Natalia Sanz</x:v>
      </x:c>
      <x:c r="C189" s="2" t="str">
        <x:v>Experiencia objetivo</x:v>
      </x:c>
      <x:c r="D189" s="23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189" s="23" t="str">
        <x:v>DISEÑADO_NO_EJECUTADO</x:v>
      </x:c>
      <x:c r="F189" s="23" t="str">
        <x:v>NO_ACREDITADA</x:v>
      </x:c>
    </x:row>
    <x:row r="190" ht="38" customHeight="1">
      <x:c r="A190" s="16" t="n">
        <x:v>21</x:v>
      </x:c>
      <x:c r="B190" s="16" t="str">
        <x:v>Natalia Sanz</x:v>
      </x:c>
      <x:c r="C190" s="16" t="str">
        <x:v>Formación objetivo</x:v>
      </x:c>
      <x:c r="D190" s="26" t="str">
        <x:v>Ruta aspiracional avanzada en calidad. Plan interno ficticio; no universidad real. No título obtenido.
Módulos: Compatibilidad; Pruebas diferenciales; Matrices de entorno; Contratos API; Regresión</x:v>
      </x:c>
      <x:c r="E190" s="26" t="str">
        <x:v>DISEÑADO_NO_EJECUTADO</x:v>
      </x:c>
      <x:c r="F190" s="26" t="str">
        <x:v>NO_ACREDITADA</x:v>
      </x:c>
    </x:row>
    <x:row r="191" ht="38" customHeight="1">
      <x:c r="A191" s="2" t="n">
        <x:v>21</x:v>
      </x:c>
      <x:c r="B191" s="2" t="str">
        <x:v>Natalia Sanz</x:v>
      </x:c>
      <x:c r="C191" s="2" t="str">
        <x:v>Formación objetivo</x:v>
      </x:c>
      <x:c r="D191" s="23" t="str">
        <x:v>Fundamentos de evidencia, seguridad y ética operativa. Plan interno ficticio. Formación objetivo, pendiente de prueba.
Módulos: Método experimental; Límites de autoridad; Datos no confiables; Revisión independiente</x:v>
      </x:c>
      <x:c r="E191" s="23" t="str">
        <x:v>DISEÑADO_NO_EJECUTADO</x:v>
      </x:c>
      <x:c r="F191" s="23" t="str">
        <x:v>NO_ACREDITADA</x:v>
      </x:c>
    </x:row>
    <x:row r="192" ht="38" customHeight="1">
      <x:c r="A192" s="16" t="n">
        <x:v>21</x:v>
      </x:c>
      <x:c r="B192" s="16" t="str">
        <x:v>Natalia Sanz</x:v>
      </x:c>
      <x:c r="C192" s="16" t="str">
        <x:v>Certificación objetivo</x:v>
      </x:c>
      <x:c r="D192" s="26" t="str">
        <x:v>Evaluación práctica objetivo de Compatibilidad. No certificación real ni obtenida.
Aceptación: Caso nominal, adversarial, regresión y auditoría de evidencia</x:v>
      </x:c>
      <x:c r="E192" s="26" t="str">
        <x:v>DISEÑADO_NO_EJECUTADO</x:v>
      </x:c>
      <x:c r="F192" s="26" t="str">
        <x:v>NO_ACREDITADA</x:v>
      </x:c>
    </x:row>
    <x:row r="193" ht="38" customHeight="1">
      <x:c r="A193" s="2" t="n">
        <x:v>21</x:v>
      </x:c>
      <x:c r="B193" s="2" t="str">
        <x:v>Natalia Sanz</x:v>
      </x:c>
      <x:c r="C193" s="2" t="str">
        <x:v>Certificación objetivo</x:v>
      </x:c>
      <x:c r="D193" s="23" t="str">
        <x:v>Evaluación práctica objetivo de Pruebas diferenciales. No certificación real ni obtenida.
Aceptación: Caso nominal, adversarial, regresión y auditoría de evidencia</x:v>
      </x:c>
      <x:c r="E193" s="23" t="str">
        <x:v>DISEÑADO_NO_EJECUTADO</x:v>
      </x:c>
      <x:c r="F193" s="23" t="str">
        <x:v>NO_ACREDITADA</x:v>
      </x:c>
    </x:row>
    <x:row r="194" ht="38" customHeight="1">
      <x:c r="A194" s="16" t="n">
        <x:v>21</x:v>
      </x:c>
      <x:c r="B194" s="16" t="str">
        <x:v>Natalia Sanz</x:v>
      </x:c>
      <x:c r="C194" s="16" t="str">
        <x:v>Certificación objetivo</x:v>
      </x:c>
      <x:c r="D194" s="26" t="str">
        <x:v>Evaluación práctica objetivo de Matrices de entorno. No certificación real ni obtenida.
Aceptación: Caso nominal, adversarial, regresión y auditoría de evidencia</x:v>
      </x:c>
      <x:c r="E194" s="26" t="str">
        <x:v>DISEÑADO_NO_EJECUTADO</x:v>
      </x:c>
      <x:c r="F194" s="26" t="str">
        <x:v>NO_ACREDITADA</x:v>
      </x:c>
    </x:row>
    <x:row r="195" ht="38" customHeight="1">
      <x:c r="A195" s="2" t="n">
        <x:v>22</x:v>
      </x:c>
      <x:c r="B195" s="2" t="str">
        <x:v>Daniela Fuentes</x:v>
      </x:c>
      <x:c r="C195" s="2" t="str">
        <x:v>Resumen</x:v>
      </x:c>
      <x:c r="D195" s="23" t="str">
        <x:v>Daniela Fuentes es la identidad narrativa ficticia del rol Ingeniería de agentes y evaluaciones. Perfil objetivo: Diseñar herramientas, evaluaciones y habilidades versionadas con autoridad acotada y trazabilidad. No hay historial profesional real atribuido.</x:v>
      </x:c>
      <x:c r="E195" s="23" t="str">
        <x:v>DISEÑADO_NO_EJECUTADO</x:v>
      </x:c>
      <x:c r="F195" s="23" t="str">
        <x:v>NO_ACREDITADA</x:v>
      </x:c>
    </x:row>
    <x:row r="196" ht="86" customHeight="1">
      <x:c r="A196" s="16" t="n">
        <x:v>22</x:v>
      </x:c>
      <x:c r="B196" s="16" t="str">
        <x:v>Daniela Fuentes</x:v>
      </x:c>
      <x:c r="C196" s="16" t="str">
        <x:v>Experiencia objetivo</x:v>
      </x:c>
      <x:c r="D196" s="26" t="str">
        <x:v>Programa aspiracional de inteligencia aplicada. Laboratorio simulado de ingeniería; entidad ficticia. Itinerario formativo A, sin años de empleo reales.
Alcance: Diseñar herramientas, evaluaciones y habilidades versionadas con autoridad acotada y trazabilidad.
Objetivos: Objetivo de portafolio: Eval set con casos positivos, adversariales y regresión; Objetivo de portafolio: Contrato herramienta, permiso, entrada y salida
Verificación: No cursado ni demostrado; evaluar con artefactos y casos reproducibles.</x:v>
      </x:c>
      <x:c r="E196" s="26" t="str">
        <x:v>DISEÑADO_NO_EJECUTADO</x:v>
      </x:c>
      <x:c r="F196" s="26" t="str">
        <x:v>NO_ACREDITADA</x:v>
      </x:c>
    </x:row>
    <x:row r="197" ht="86" customHeight="1">
      <x:c r="A197" s="2" t="n">
        <x:v>22</x:v>
      </x:c>
      <x:c r="B197" s="2" t="str">
        <x:v>Daniela Fuentes</x:v>
      </x:c>
      <x:c r="C197" s="2" t="str">
        <x:v>Experiencia objetivo</x:v>
      </x:c>
      <x:c r="D197" s="23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197" s="23" t="str">
        <x:v>DISEÑADO_NO_EJECUTADO</x:v>
      </x:c>
      <x:c r="F197" s="23" t="str">
        <x:v>NO_ACREDITADA</x:v>
      </x:c>
    </x:row>
    <x:row r="198" ht="62" customHeight="1">
      <x:c r="A198" s="16" t="n">
        <x:v>22</x:v>
      </x:c>
      <x:c r="B198" s="16" t="str">
        <x:v>Daniela Fuentes</x:v>
      </x:c>
      <x:c r="C198" s="16" t="str">
        <x:v>Experiencia objetivo</x:v>
      </x:c>
      <x:c r="D198" s="26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198" s="26" t="str">
        <x:v>DISEÑADO_NO_EJECUTADO</x:v>
      </x:c>
      <x:c r="F198" s="26" t="str">
        <x:v>NO_ACREDITADA</x:v>
      </x:c>
    </x:row>
    <x:row r="199" ht="38" customHeight="1">
      <x:c r="A199" s="2" t="n">
        <x:v>22</x:v>
      </x:c>
      <x:c r="B199" s="2" t="str">
        <x:v>Daniela Fuentes</x:v>
      </x:c>
      <x:c r="C199" s="2" t="str">
        <x:v>Formación objetivo</x:v>
      </x:c>
      <x:c r="D199" s="23" t="str">
        <x:v>Ruta aspiracional avanzada en inteligencia aplicada. Plan interno ficticio; no universidad real. No título obtenido.
Módulos: Evaluación de agentes; Diseño de herramientas; Inyección de instrucciones; Habilidades versionadas; Análisis de errores</x:v>
      </x:c>
      <x:c r="E199" s="23" t="str">
        <x:v>DISEÑADO_NO_EJECUTADO</x:v>
      </x:c>
      <x:c r="F199" s="23" t="str">
        <x:v>NO_ACREDITADA</x:v>
      </x:c>
    </x:row>
    <x:row r="200" ht="38" customHeight="1">
      <x:c r="A200" s="16" t="n">
        <x:v>22</x:v>
      </x:c>
      <x:c r="B200" s="16" t="str">
        <x:v>Daniela Fuentes</x:v>
      </x:c>
      <x:c r="C200" s="16" t="str">
        <x:v>Formación objetivo</x:v>
      </x:c>
      <x:c r="D200" s="26" t="str">
        <x:v>Fundamentos de evidencia, seguridad y ética operativa. Plan interno ficticio. Formación objetivo, pendiente de prueba.
Módulos: Método experimental; Límites de autoridad; Datos no confiables; Revisión independiente</x:v>
      </x:c>
      <x:c r="E200" s="26" t="str">
        <x:v>DISEÑADO_NO_EJECUTADO</x:v>
      </x:c>
      <x:c r="F200" s="26" t="str">
        <x:v>NO_ACREDITADA</x:v>
      </x:c>
    </x:row>
    <x:row r="201" ht="38" customHeight="1">
      <x:c r="A201" s="2" t="n">
        <x:v>22</x:v>
      </x:c>
      <x:c r="B201" s="2" t="str">
        <x:v>Daniela Fuentes</x:v>
      </x:c>
      <x:c r="C201" s="2" t="str">
        <x:v>Certificación objetivo</x:v>
      </x:c>
      <x:c r="D201" s="23" t="str">
        <x:v>Evaluación práctica objetivo de Evaluación de agentes. No certificación real ni obtenida.
Aceptación: Caso nominal, adversarial, regresión y auditoría de evidencia</x:v>
      </x:c>
      <x:c r="E201" s="23" t="str">
        <x:v>DISEÑADO_NO_EJECUTADO</x:v>
      </x:c>
      <x:c r="F201" s="23" t="str">
        <x:v>NO_ACREDITADA</x:v>
      </x:c>
    </x:row>
    <x:row r="202" ht="38" customHeight="1">
      <x:c r="A202" s="16" t="n">
        <x:v>22</x:v>
      </x:c>
      <x:c r="B202" s="16" t="str">
        <x:v>Daniela Fuentes</x:v>
      </x:c>
      <x:c r="C202" s="16" t="str">
        <x:v>Certificación objetivo</x:v>
      </x:c>
      <x:c r="D202" s="26" t="str">
        <x:v>Evaluación práctica objetivo de Diseño de herramientas. No certificación real ni obtenida.
Aceptación: Caso nominal, adversarial, regresión y auditoría de evidencia</x:v>
      </x:c>
      <x:c r="E202" s="26" t="str">
        <x:v>DISEÑADO_NO_EJECUTADO</x:v>
      </x:c>
      <x:c r="F202" s="26" t="str">
        <x:v>NO_ACREDITADA</x:v>
      </x:c>
    </x:row>
    <x:row r="203" ht="38" customHeight="1">
      <x:c r="A203" s="2" t="n">
        <x:v>22</x:v>
      </x:c>
      <x:c r="B203" s="2" t="str">
        <x:v>Daniela Fuentes</x:v>
      </x:c>
      <x:c r="C203" s="2" t="str">
        <x:v>Certificación objetivo</x:v>
      </x:c>
      <x:c r="D203" s="23" t="str">
        <x:v>Evaluación práctica objetivo de Inyección de instrucciones. No certificación real ni obtenida.
Aceptación: Caso nominal, adversarial, regresión y auditoría de evidencia</x:v>
      </x:c>
      <x:c r="E203" s="23" t="str">
        <x:v>DISEÑADO_NO_EJECUTADO</x:v>
      </x:c>
      <x:c r="F203" s="23" t="str">
        <x:v>NO_ACREDITADA</x:v>
      </x:c>
    </x:row>
    <x:row r="204" ht="38" customHeight="1">
      <x:c r="A204" s="16" t="n">
        <x:v>23</x:v>
      </x:c>
      <x:c r="B204" s="16" t="str">
        <x:v>Julián Escobar</x:v>
      </x:c>
      <x:c r="C204" s="16" t="str">
        <x:v>Resumen</x:v>
      </x:c>
      <x:c r="D204" s="26" t="str">
        <x:v>Julián Escobar es la identidad narrativa ficticia del rol Ingeniería de especificación y trazabilidad. Perfil objetivo: Mantener una fuente de verdad coherente entre intención, requisitos, implementación y evidencia. No hay historial profesional real atribuido.</x:v>
      </x:c>
      <x:c r="E204" s="26" t="str">
        <x:v>DISEÑADO_NO_EJECUTADO</x:v>
      </x:c>
      <x:c r="F204" s="26" t="str">
        <x:v>NO_ACREDITADA</x:v>
      </x:c>
    </x:row>
    <x:row r="205" ht="86" customHeight="1">
      <x:c r="A205" s="2" t="n">
        <x:v>23</x:v>
      </x:c>
      <x:c r="B205" s="2" t="str">
        <x:v>Julián Escobar</x:v>
      </x:c>
      <x:c r="C205" s="2" t="str">
        <x:v>Experiencia objetivo</x:v>
      </x:c>
      <x:c r="D205" s="23" t="str">
        <x:v>Programa aspiracional de producto. Laboratorio simulado de ingeniería; entidad ficticia. Itinerario formativo A, sin años de empleo reales.
Alcance: Mantener una fuente de verdad coherente entre intención, requisitos, implementación y evidencia.
Objetivos: Objetivo de portafolio: Requisitos atómicos con ID y criterio verificable; Objetivo de portafolio: Matriz de trazabilidad y decisiones abiertas
Verificación: No cursado ni demostrado; evaluar con artefactos y casos reproducibles.</x:v>
      </x:c>
      <x:c r="E205" s="23" t="str">
        <x:v>DISEÑADO_NO_EJECUTADO</x:v>
      </x:c>
      <x:c r="F205" s="23" t="str">
        <x:v>NO_ACREDITADA</x:v>
      </x:c>
    </x:row>
    <x:row r="206" ht="86" customHeight="1">
      <x:c r="A206" s="16" t="n">
        <x:v>23</x:v>
      </x:c>
      <x:c r="B206" s="16" t="str">
        <x:v>Julián Escobar</x:v>
      </x:c>
      <x:c r="C206" s="16" t="str">
        <x:v>Experiencia objetivo</x:v>
      </x:c>
      <x:c r="D206" s="26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206" s="26" t="str">
        <x:v>DISEÑADO_NO_EJECUTADO</x:v>
      </x:c>
      <x:c r="F206" s="26" t="str">
        <x:v>NO_ACREDITADA</x:v>
      </x:c>
    </x:row>
    <x:row r="207" ht="62" customHeight="1">
      <x:c r="A207" s="2" t="n">
        <x:v>23</x:v>
      </x:c>
      <x:c r="B207" s="2" t="str">
        <x:v>Julián Escobar</x:v>
      </x:c>
      <x:c r="C207" s="2" t="str">
        <x:v>Experiencia objetivo</x:v>
      </x:c>
      <x:c r="D207" s="23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207" s="23" t="str">
        <x:v>DISEÑADO_NO_EJECUTADO</x:v>
      </x:c>
      <x:c r="F207" s="23" t="str">
        <x:v>NO_ACREDITADA</x:v>
      </x:c>
    </x:row>
    <x:row r="208" ht="38" customHeight="1">
      <x:c r="A208" s="16" t="n">
        <x:v>23</x:v>
      </x:c>
      <x:c r="B208" s="16" t="str">
        <x:v>Julián Escobar</x:v>
      </x:c>
      <x:c r="C208" s="16" t="str">
        <x:v>Formación objetivo</x:v>
      </x:c>
      <x:c r="D208" s="26" t="str">
        <x:v>Ruta aspiracional avanzada en producto. Plan interno ficticio; no universidad real. No título obtenido.
Módulos: Ingeniería de requisitos; Trazabilidad; Especificación formal; Documentación técnica; Gestión de cambios</x:v>
      </x:c>
      <x:c r="E208" s="26" t="str">
        <x:v>DISEÑADO_NO_EJECUTADO</x:v>
      </x:c>
      <x:c r="F208" s="26" t="str">
        <x:v>NO_ACREDITADA</x:v>
      </x:c>
    </x:row>
    <x:row r="209" ht="38" customHeight="1">
      <x:c r="A209" s="2" t="n">
        <x:v>23</x:v>
      </x:c>
      <x:c r="B209" s="2" t="str">
        <x:v>Julián Escobar</x:v>
      </x:c>
      <x:c r="C209" s="2" t="str">
        <x:v>Formación objetivo</x:v>
      </x:c>
      <x:c r="D209" s="23" t="str">
        <x:v>Fundamentos de evidencia, seguridad y ética operativa. Plan interno ficticio. Formación objetivo, pendiente de prueba.
Módulos: Método experimental; Límites de autoridad; Datos no confiables; Revisión independiente</x:v>
      </x:c>
      <x:c r="E209" s="23" t="str">
        <x:v>DISEÑADO_NO_EJECUTADO</x:v>
      </x:c>
      <x:c r="F209" s="23" t="str">
        <x:v>NO_ACREDITADA</x:v>
      </x:c>
    </x:row>
    <x:row r="210" ht="38" customHeight="1">
      <x:c r="A210" s="16" t="n">
        <x:v>23</x:v>
      </x:c>
      <x:c r="B210" s="16" t="str">
        <x:v>Julián Escobar</x:v>
      </x:c>
      <x:c r="C210" s="16" t="str">
        <x:v>Certificación objetivo</x:v>
      </x:c>
      <x:c r="D210" s="26" t="str">
        <x:v>Evaluación práctica objetivo de Ingeniería de requisitos. No certificación real ni obtenida.
Aceptación: Caso nominal, adversarial, regresión y auditoría de evidencia</x:v>
      </x:c>
      <x:c r="E210" s="26" t="str">
        <x:v>DISEÑADO_NO_EJECUTADO</x:v>
      </x:c>
      <x:c r="F210" s="26" t="str">
        <x:v>NO_ACREDITADA</x:v>
      </x:c>
    </x:row>
    <x:row r="211" ht="38" customHeight="1">
      <x:c r="A211" s="2" t="n">
        <x:v>23</x:v>
      </x:c>
      <x:c r="B211" s="2" t="str">
        <x:v>Julián Escobar</x:v>
      </x:c>
      <x:c r="C211" s="2" t="str">
        <x:v>Certificación objetivo</x:v>
      </x:c>
      <x:c r="D211" s="23" t="str">
        <x:v>Evaluación práctica objetivo de Trazabilidad. No certificación real ni obtenida.
Aceptación: Caso nominal, adversarial, regresión y auditoría de evidencia</x:v>
      </x:c>
      <x:c r="E211" s="23" t="str">
        <x:v>DISEÑADO_NO_EJECUTADO</x:v>
      </x:c>
      <x:c r="F211" s="23" t="str">
        <x:v>NO_ACREDITADA</x:v>
      </x:c>
    </x:row>
    <x:row r="212" ht="38" customHeight="1">
      <x:c r="A212" s="16" t="n">
        <x:v>23</x:v>
      </x:c>
      <x:c r="B212" s="16" t="str">
        <x:v>Julián Escobar</x:v>
      </x:c>
      <x:c r="C212" s="16" t="str">
        <x:v>Certificación objetivo</x:v>
      </x:c>
      <x:c r="D212" s="26" t="str">
        <x:v>Evaluación práctica objetivo de Especificación formal. No certificación real ni obtenida.
Aceptación: Caso nominal, adversarial, regresión y auditoría de evidencia</x:v>
      </x:c>
      <x:c r="E212" s="26" t="str">
        <x:v>DISEÑADO_NO_EJECUTADO</x:v>
      </x:c>
      <x:c r="F212" s="26" t="str">
        <x:v>NO_ACREDITADA</x:v>
      </x:c>
    </x:row>
    <x:row r="213" ht="38" customHeight="1">
      <x:c r="A213" s="2" t="n">
        <x:v>24</x:v>
      </x:c>
      <x:c r="B213" s="2" t="str">
        <x:v>Camila Navarro</x:v>
      </x:c>
      <x:c r="C213" s="2" t="str">
        <x:v>Resumen</x:v>
      </x:c>
      <x:c r="D213" s="23" t="str">
        <x:v>Camila Navarro es la identidad narrativa ficticia del rol Ingeniería de rendimiento y capacidad. Perfil objetivo: Medir latencia, capacidad y coste bajo cargas comparables y presupuestos explícitos. No hay historial profesional real atribuido.</x:v>
      </x:c>
      <x:c r="E213" s="23" t="str">
        <x:v>DISEÑADO_NO_EJECUTADO</x:v>
      </x:c>
      <x:c r="F213" s="23" t="str">
        <x:v>NO_ACREDITADA</x:v>
      </x:c>
    </x:row>
    <x:row r="214" ht="86" customHeight="1">
      <x:c r="A214" s="16" t="n">
        <x:v>24</x:v>
      </x:c>
      <x:c r="B214" s="16" t="str">
        <x:v>Camila Navarro</x:v>
      </x:c>
      <x:c r="C214" s="16" t="str">
        <x:v>Experiencia objetivo</x:v>
      </x:c>
      <x:c r="D214" s="26" t="str">
        <x:v>Programa aspiracional de plataforma. Laboratorio simulado de ingeniería; entidad ficticia. Itinerario formativo A, sin años de empleo reales.
Alcance: Medir latencia, capacidad y coste bajo cargas comparables y presupuestos explícitos.
Objetivos: Objetivo de portafolio: Modelo de carga con volumen, mezcla y percentiles; Objetivo de portafolio: Baseline y candidato comparados en igual entorno
Verificación: No cursado ni demostrado; evaluar con artefactos y casos reproducibles.</x:v>
      </x:c>
      <x:c r="E214" s="26" t="str">
        <x:v>DISEÑADO_NO_EJECUTADO</x:v>
      </x:c>
      <x:c r="F214" s="26" t="str">
        <x:v>NO_ACREDITADA</x:v>
      </x:c>
    </x:row>
    <x:row r="215" ht="86" customHeight="1">
      <x:c r="A215" s="2" t="n">
        <x:v>24</x:v>
      </x:c>
      <x:c r="B215" s="2" t="str">
        <x:v>Camila Navarro</x:v>
      </x:c>
      <x:c r="C215" s="2" t="str">
        <x:v>Experiencia objetivo</x:v>
      </x:c>
      <x:c r="D215" s="23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215" s="23" t="str">
        <x:v>DISEÑADO_NO_EJECUTADO</x:v>
      </x:c>
      <x:c r="F215" s="23" t="str">
        <x:v>NO_ACREDITADA</x:v>
      </x:c>
    </x:row>
    <x:row r="216" ht="62" customHeight="1">
      <x:c r="A216" s="16" t="n">
        <x:v>24</x:v>
      </x:c>
      <x:c r="B216" s="16" t="str">
        <x:v>Camila Navarro</x:v>
      </x:c>
      <x:c r="C216" s="16" t="str">
        <x:v>Experiencia objetivo</x:v>
      </x:c>
      <x:c r="D216" s="26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216" s="26" t="str">
        <x:v>DISEÑADO_NO_EJECUTADO</x:v>
      </x:c>
      <x:c r="F216" s="26" t="str">
        <x:v>NO_ACREDITADA</x:v>
      </x:c>
    </x:row>
    <x:row r="217" ht="38" customHeight="1">
      <x:c r="A217" s="2" t="n">
        <x:v>24</x:v>
      </x:c>
      <x:c r="B217" s="2" t="str">
        <x:v>Camila Navarro</x:v>
      </x:c>
      <x:c r="C217" s="2" t="str">
        <x:v>Formación objetivo</x:v>
      </x:c>
      <x:c r="D217" s="23" t="str">
        <x:v>Ruta aspiracional avanzada en plataforma. Plan interno ficticio; no universidad real. No título obtenido.
Módulos: Pruebas de carga; Análisis de latencia; Perfilado; Capacidad; Presupuestos de recursos</x:v>
      </x:c>
      <x:c r="E217" s="23" t="str">
        <x:v>DISEÑADO_NO_EJECUTADO</x:v>
      </x:c>
      <x:c r="F217" s="23" t="str">
        <x:v>NO_ACREDITADA</x:v>
      </x:c>
    </x:row>
    <x:row r="218" ht="38" customHeight="1">
      <x:c r="A218" s="16" t="n">
        <x:v>24</x:v>
      </x:c>
      <x:c r="B218" s="16" t="str">
        <x:v>Camila Navarro</x:v>
      </x:c>
      <x:c r="C218" s="16" t="str">
        <x:v>Formación objetivo</x:v>
      </x:c>
      <x:c r="D218" s="26" t="str">
        <x:v>Fundamentos de evidencia, seguridad y ética operativa. Plan interno ficticio. Formación objetivo, pendiente de prueba.
Módulos: Método experimental; Límites de autoridad; Datos no confiables; Revisión independiente</x:v>
      </x:c>
      <x:c r="E218" s="26" t="str">
        <x:v>DISEÑADO_NO_EJECUTADO</x:v>
      </x:c>
      <x:c r="F218" s="26" t="str">
        <x:v>NO_ACREDITADA</x:v>
      </x:c>
    </x:row>
    <x:row r="219" ht="38" customHeight="1">
      <x:c r="A219" s="2" t="n">
        <x:v>24</x:v>
      </x:c>
      <x:c r="B219" s="2" t="str">
        <x:v>Camila Navarro</x:v>
      </x:c>
      <x:c r="C219" s="2" t="str">
        <x:v>Certificación objetivo</x:v>
      </x:c>
      <x:c r="D219" s="23" t="str">
        <x:v>Evaluación práctica objetivo de Pruebas de carga. No certificación real ni obtenida.
Aceptación: Caso nominal, adversarial, regresión y auditoría de evidencia</x:v>
      </x:c>
      <x:c r="E219" s="23" t="str">
        <x:v>DISEÑADO_NO_EJECUTADO</x:v>
      </x:c>
      <x:c r="F219" s="23" t="str">
        <x:v>NO_ACREDITADA</x:v>
      </x:c>
    </x:row>
    <x:row r="220" ht="38" customHeight="1">
      <x:c r="A220" s="16" t="n">
        <x:v>24</x:v>
      </x:c>
      <x:c r="B220" s="16" t="str">
        <x:v>Camila Navarro</x:v>
      </x:c>
      <x:c r="C220" s="16" t="str">
        <x:v>Certificación objetivo</x:v>
      </x:c>
      <x:c r="D220" s="26" t="str">
        <x:v>Evaluación práctica objetivo de Análisis de latencia. No certificación real ni obtenida.
Aceptación: Caso nominal, adversarial, regresión y auditoría de evidencia</x:v>
      </x:c>
      <x:c r="E220" s="26" t="str">
        <x:v>DISEÑADO_NO_EJECUTADO</x:v>
      </x:c>
      <x:c r="F220" s="26" t="str">
        <x:v>NO_ACREDITADA</x:v>
      </x:c>
    </x:row>
    <x:row r="221" ht="38" customHeight="1">
      <x:c r="A221" s="2" t="n">
        <x:v>24</x:v>
      </x:c>
      <x:c r="B221" s="2" t="str">
        <x:v>Camila Navarro</x:v>
      </x:c>
      <x:c r="C221" s="2" t="str">
        <x:v>Certificación objetivo</x:v>
      </x:c>
      <x:c r="D221" s="23" t="str">
        <x:v>Evaluación práctica objetivo de Perfilado. No certificación real ni obtenida.
Aceptación: Caso nominal, adversarial, regresión y auditoría de evidencia</x:v>
      </x:c>
      <x:c r="E221" s="23" t="str">
        <x:v>DISEÑADO_NO_EJECUTADO</x:v>
      </x:c>
      <x:c r="F221" s="23" t="str">
        <x:v>NO_ACREDITADA</x:v>
      </x:c>
    </x:row>
    <x:row r="222" ht="38" customHeight="1">
      <x:c r="A222" s="16" t="n">
        <x:v>25</x:v>
      </x:c>
      <x:c r="B222" s="16" t="str">
        <x:v>Celia Paredes</x:v>
      </x:c>
      <x:c r="C222" s="16" t="str">
        <x:v>Resumen</x:v>
      </x:c>
      <x:c r="D222" s="26" t="str">
        <x:v>Celia Paredes es la identidad narrativa ficticia del rol Investigación de experiencia de usuario. Perfil objetivo: Verificar claridad y esfuerzo de los recorridos con criterios observables. No hay historial profesional real atribuido.</x:v>
      </x:c>
      <x:c r="E222" s="26" t="str">
        <x:v>DISEÑADO_NO_EJECUTADO</x:v>
      </x:c>
      <x:c r="F222" s="26" t="str">
        <x:v>NO_ACREDITADA</x:v>
      </x:c>
    </x:row>
    <x:row r="223" ht="74" customHeight="1">
      <x:c r="A223" s="2" t="n">
        <x:v>25</x:v>
      </x:c>
      <x:c r="B223" s="2" t="str">
        <x:v>Celia Paredes</x:v>
      </x:c>
      <x:c r="C223" s="2" t="str">
        <x:v>Experiencia objetivo</x:v>
      </x:c>
      <x:c r="D223" s="23" t="str">
        <x:v>Programa aspiracional de experiencia. Laboratorio simulado de ingeniería; entidad ficticia. Itinerario formativo A, sin años de empleo reales.
Alcance: Verificar claridad y esfuerzo de los recorridos con criterios observables.
Objetivos: Objetivo de portafolio: Mapa de tareas de usuario; Objetivo de portafolio: Hipótesis y plan de pruebas de usabilidad
Verificación: No cursado ni demostrado; evaluar con artefactos y casos reproducibles.</x:v>
      </x:c>
      <x:c r="E223" s="23" t="str">
        <x:v>DISEÑADO_NO_EJECUTADO</x:v>
      </x:c>
      <x:c r="F223" s="23" t="str">
        <x:v>NO_ACREDITADA</x:v>
      </x:c>
    </x:row>
    <x:row r="224" ht="86" customHeight="1">
      <x:c r="A224" s="16" t="n">
        <x:v>25</x:v>
      </x:c>
      <x:c r="B224" s="16" t="str">
        <x:v>Celia Paredes</x:v>
      </x:c>
      <x:c r="C224" s="16" t="str">
        <x:v>Experiencia objetivo</x:v>
      </x:c>
      <x:c r="D224" s="26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224" s="26" t="str">
        <x:v>DISEÑADO_NO_EJECUTADO</x:v>
      </x:c>
      <x:c r="F224" s="26" t="str">
        <x:v>NO_ACREDITADA</x:v>
      </x:c>
    </x:row>
    <x:row r="225" ht="62" customHeight="1">
      <x:c r="A225" s="2" t="n">
        <x:v>25</x:v>
      </x:c>
      <x:c r="B225" s="2" t="str">
        <x:v>Celia Paredes</x:v>
      </x:c>
      <x:c r="C225" s="2" t="str">
        <x:v>Experiencia objetivo</x:v>
      </x:c>
      <x:c r="D225" s="23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225" s="23" t="str">
        <x:v>DISEÑADO_NO_EJECUTADO</x:v>
      </x:c>
      <x:c r="F225" s="23" t="str">
        <x:v>NO_ACREDITADA</x:v>
      </x:c>
    </x:row>
    <x:row r="226" ht="38" customHeight="1">
      <x:c r="A226" s="16" t="n">
        <x:v>25</x:v>
      </x:c>
      <x:c r="B226" s="16" t="str">
        <x:v>Celia Paredes</x:v>
      </x:c>
      <x:c r="C226" s="16" t="str">
        <x:v>Formación objetivo</x:v>
      </x:c>
      <x:c r="D226" s="26" t="str">
        <x:v>Ruta aspiracional avanzada en experiencia. Plan interno ficticio; no universidad real. No título obtenido.
Módulos: Investigación de usuarios; Diseño de interacción; Accesibilidad; Pruebas de usabilidad; Métricas de producto</x:v>
      </x:c>
      <x:c r="E226" s="26" t="str">
        <x:v>DISEÑADO_NO_EJECUTADO</x:v>
      </x:c>
      <x:c r="F226" s="26" t="str">
        <x:v>NO_ACREDITADA</x:v>
      </x:c>
    </x:row>
    <x:row r="227" ht="38" customHeight="1">
      <x:c r="A227" s="2" t="n">
        <x:v>25</x:v>
      </x:c>
      <x:c r="B227" s="2" t="str">
        <x:v>Celia Paredes</x:v>
      </x:c>
      <x:c r="C227" s="2" t="str">
        <x:v>Formación objetivo</x:v>
      </x:c>
      <x:c r="D227" s="23" t="str">
        <x:v>Fundamentos de evidencia, seguridad y ética operativa. Plan interno ficticio. Formación objetivo, pendiente de prueba.
Módulos: Método experimental; Límites de autoridad; Datos no confiables; Revisión independiente</x:v>
      </x:c>
      <x:c r="E227" s="23" t="str">
        <x:v>DISEÑADO_NO_EJECUTADO</x:v>
      </x:c>
      <x:c r="F227" s="23" t="str">
        <x:v>NO_ACREDITADA</x:v>
      </x:c>
    </x:row>
    <x:row r="228" ht="38" customHeight="1">
      <x:c r="A228" s="16" t="n">
        <x:v>25</x:v>
      </x:c>
      <x:c r="B228" s="16" t="str">
        <x:v>Celia Paredes</x:v>
      </x:c>
      <x:c r="C228" s="16" t="str">
        <x:v>Certificación objetivo</x:v>
      </x:c>
      <x:c r="D228" s="26" t="str">
        <x:v>Evaluación práctica objetivo de Investigación de usuarios. No certificación real ni obtenida.
Aceptación: Caso nominal, adversarial, regresión y auditoría de evidencia</x:v>
      </x:c>
      <x:c r="E228" s="26" t="str">
        <x:v>DISEÑADO_NO_EJECUTADO</x:v>
      </x:c>
      <x:c r="F228" s="26" t="str">
        <x:v>NO_ACREDITADA</x:v>
      </x:c>
    </x:row>
    <x:row r="229" ht="38" customHeight="1">
      <x:c r="A229" s="2" t="n">
        <x:v>25</x:v>
      </x:c>
      <x:c r="B229" s="2" t="str">
        <x:v>Celia Paredes</x:v>
      </x:c>
      <x:c r="C229" s="2" t="str">
        <x:v>Certificación objetivo</x:v>
      </x:c>
      <x:c r="D229" s="23" t="str">
        <x:v>Evaluación práctica objetivo de Diseño de interacción. No certificación real ni obtenida.
Aceptación: Caso nominal, adversarial, regresión y auditoría de evidencia</x:v>
      </x:c>
      <x:c r="E229" s="23" t="str">
        <x:v>DISEÑADO_NO_EJECUTADO</x:v>
      </x:c>
      <x:c r="F229" s="23" t="str">
        <x:v>NO_ACREDITADA</x:v>
      </x:c>
    </x:row>
    <x:row r="230" ht="38" customHeight="1">
      <x:c r="A230" s="16" t="n">
        <x:v>25</x:v>
      </x:c>
      <x:c r="B230" s="16" t="str">
        <x:v>Celia Paredes</x:v>
      </x:c>
      <x:c r="C230" s="16" t="str">
        <x:v>Certificación objetivo</x:v>
      </x:c>
      <x:c r="D230" s="26" t="str">
        <x:v>Evaluación práctica objetivo de Accesibilidad. No certificación real ni obtenida.
Aceptación: Caso nominal, adversarial, regresión y auditoría de evidencia</x:v>
      </x:c>
      <x:c r="E230" s="26" t="str">
        <x:v>DISEÑADO_NO_EJECUTADO</x:v>
      </x:c>
      <x:c r="F230" s="26" t="str">
        <x:v>NO_ACREDITADA</x:v>
      </x:c>
    </x:row>
    <x:row r="231" ht="38" customHeight="1">
      <x:c r="A231" s="2" t="n">
        <x:v>26</x:v>
      </x:c>
      <x:c r="B231" s="2" t="str">
        <x:v>Adrián Lago</x:v>
      </x:c>
      <x:c r="C231" s="2" t="str">
        <x:v>Resumen</x:v>
      </x:c>
      <x:c r="D231" s="23" t="str">
        <x:v>Adrián Lago es la identidad narrativa ficticia del rol Ingeniería de privacidad. Perfil objetivo: Reducir exposición de datos y comprobar minimización, retención y acceso. No hay historial profesional real atribuido.</x:v>
      </x:c>
      <x:c r="E231" s="23" t="str">
        <x:v>DISEÑADO_NO_EJECUTADO</x:v>
      </x:c>
      <x:c r="F231" s="23" t="str">
        <x:v>NO_ACREDITADA</x:v>
      </x:c>
    </x:row>
    <x:row r="232" ht="74" customHeight="1">
      <x:c r="A232" s="16" t="n">
        <x:v>26</x:v>
      </x:c>
      <x:c r="B232" s="16" t="str">
        <x:v>Adrián Lago</x:v>
      </x:c>
      <x:c r="C232" s="16" t="str">
        <x:v>Experiencia objetivo</x:v>
      </x:c>
      <x:c r="D232" s="26" t="str">
        <x:v>Programa aspiracional de aseguramiento. Laboratorio simulado de ingeniería; entidad ficticia. Itinerario formativo A, sin años de empleo reales.
Alcance: Reducir exposición de datos y comprobar minimización, retención y acceso.
Objetivos: Objetivo de portafolio: Inventario de datos y propósito; Objetivo de portafolio: Matriz de acceso y retención
Verificación: No cursado ni demostrado; evaluar con artefactos y casos reproducibles.</x:v>
      </x:c>
      <x:c r="E232" s="26" t="str">
        <x:v>DISEÑADO_NO_EJECUTADO</x:v>
      </x:c>
      <x:c r="F232" s="26" t="str">
        <x:v>NO_ACREDITADA</x:v>
      </x:c>
    </x:row>
    <x:row r="233" ht="86" customHeight="1">
      <x:c r="A233" s="2" t="n">
        <x:v>26</x:v>
      </x:c>
      <x:c r="B233" s="2" t="str">
        <x:v>Adrián Lago</x:v>
      </x:c>
      <x:c r="C233" s="2" t="str">
        <x:v>Experiencia objetivo</x:v>
      </x:c>
      <x:c r="D233" s="23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233" s="23" t="str">
        <x:v>DISEÑADO_NO_EJECUTADO</x:v>
      </x:c>
      <x:c r="F233" s="23" t="str">
        <x:v>NO_ACREDITADA</x:v>
      </x:c>
    </x:row>
    <x:row r="234" ht="62" customHeight="1">
      <x:c r="A234" s="16" t="n">
        <x:v>26</x:v>
      </x:c>
      <x:c r="B234" s="16" t="str">
        <x:v>Adrián Lago</x:v>
      </x:c>
      <x:c r="C234" s="16" t="str">
        <x:v>Experiencia objetivo</x:v>
      </x:c>
      <x:c r="D234" s="26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234" s="26" t="str">
        <x:v>DISEÑADO_NO_EJECUTADO</x:v>
      </x:c>
      <x:c r="F234" s="26" t="str">
        <x:v>NO_ACREDITADA</x:v>
      </x:c>
    </x:row>
    <x:row r="235" ht="38" customHeight="1">
      <x:c r="A235" s="2" t="n">
        <x:v>26</x:v>
      </x:c>
      <x:c r="B235" s="2" t="str">
        <x:v>Adrián Lago</x:v>
      </x:c>
      <x:c r="C235" s="2" t="str">
        <x:v>Formación objetivo</x:v>
      </x:c>
      <x:c r="D235" s="23" t="str">
        <x:v>Ruta aspiracional avanzada en aseguramiento. Plan interno ficticio; no universidad real. No título obtenido.
Módulos: Privacidad; Modelado de datos; Autorización; Retención de datos; Modelado de amenazas</x:v>
      </x:c>
      <x:c r="E235" s="23" t="str">
        <x:v>DISEÑADO_NO_EJECUTADO</x:v>
      </x:c>
      <x:c r="F235" s="23" t="str">
        <x:v>NO_ACREDITADA</x:v>
      </x:c>
    </x:row>
    <x:row r="236" ht="38" customHeight="1">
      <x:c r="A236" s="16" t="n">
        <x:v>26</x:v>
      </x:c>
      <x:c r="B236" s="16" t="str">
        <x:v>Adrián Lago</x:v>
      </x:c>
      <x:c r="C236" s="16" t="str">
        <x:v>Formación objetivo</x:v>
      </x:c>
      <x:c r="D236" s="26" t="str">
        <x:v>Fundamentos de evidencia, seguridad y ética operativa. Plan interno ficticio. Formación objetivo, pendiente de prueba.
Módulos: Método experimental; Límites de autoridad; Datos no confiables; Revisión independiente</x:v>
      </x:c>
      <x:c r="E236" s="26" t="str">
        <x:v>DISEÑADO_NO_EJECUTADO</x:v>
      </x:c>
      <x:c r="F236" s="26" t="str">
        <x:v>NO_ACREDITADA</x:v>
      </x:c>
    </x:row>
    <x:row r="237" ht="38" customHeight="1">
      <x:c r="A237" s="2" t="n">
        <x:v>26</x:v>
      </x:c>
      <x:c r="B237" s="2" t="str">
        <x:v>Adrián Lago</x:v>
      </x:c>
      <x:c r="C237" s="2" t="str">
        <x:v>Certificación objetivo</x:v>
      </x:c>
      <x:c r="D237" s="23" t="str">
        <x:v>Evaluación práctica objetivo de Privacidad. No certificación real ni obtenida.
Aceptación: Caso nominal, adversarial, regresión y auditoría de evidencia</x:v>
      </x:c>
      <x:c r="E237" s="23" t="str">
        <x:v>DISEÑADO_NO_EJECUTADO</x:v>
      </x:c>
      <x:c r="F237" s="23" t="str">
        <x:v>NO_ACREDITADA</x:v>
      </x:c>
    </x:row>
    <x:row r="238" ht="38" customHeight="1">
      <x:c r="A238" s="16" t="n">
        <x:v>26</x:v>
      </x:c>
      <x:c r="B238" s="16" t="str">
        <x:v>Adrián Lago</x:v>
      </x:c>
      <x:c r="C238" s="16" t="str">
        <x:v>Certificación objetivo</x:v>
      </x:c>
      <x:c r="D238" s="26" t="str">
        <x:v>Evaluación práctica objetivo de Modelado de datos. No certificación real ni obtenida.
Aceptación: Caso nominal, adversarial, regresión y auditoría de evidencia</x:v>
      </x:c>
      <x:c r="E238" s="26" t="str">
        <x:v>DISEÑADO_NO_EJECUTADO</x:v>
      </x:c>
      <x:c r="F238" s="26" t="str">
        <x:v>NO_ACREDITADA</x:v>
      </x:c>
    </x:row>
    <x:row r="239" ht="38" customHeight="1">
      <x:c r="A239" s="2" t="n">
        <x:v>26</x:v>
      </x:c>
      <x:c r="B239" s="2" t="str">
        <x:v>Adrián Lago</x:v>
      </x:c>
      <x:c r="C239" s="2" t="str">
        <x:v>Certificación objetivo</x:v>
      </x:c>
      <x:c r="D239" s="23" t="str">
        <x:v>Evaluación práctica objetivo de Autorización. No certificación real ni obtenida.
Aceptación: Caso nominal, adversarial, regresión y auditoría de evidencia</x:v>
      </x:c>
      <x:c r="E239" s="23" t="str">
        <x:v>DISEÑADO_NO_EJECUTADO</x:v>
      </x:c>
      <x:c r="F239" s="23" t="str">
        <x:v>NO_ACREDITADA</x:v>
      </x:c>
    </x:row>
    <x:row r="240" ht="38" customHeight="1">
      <x:c r="A240" s="16" t="n">
        <x:v>27</x:v>
      </x:c>
      <x:c r="B240" s="16" t="str">
        <x:v>Lara Cortés</x:v>
      </x:c>
      <x:c r="C240" s="16" t="str">
        <x:v>Resumen</x:v>
      </x:c>
      <x:c r="D240" s="26" t="str">
        <x:v>Lara Cortés es la identidad narrativa ficticia del rol Ingeniería de compilación y dependencias. Perfil objetivo: Hacer builds reproducibles y cadenas de dependencias inspeccionables. No hay historial profesional real atribuido.</x:v>
      </x:c>
      <x:c r="E240" s="26" t="str">
        <x:v>DISEÑADO_NO_EJECUTADO</x:v>
      </x:c>
      <x:c r="F240" s="26" t="str">
        <x:v>NO_ACREDITADA</x:v>
      </x:c>
    </x:row>
    <x:row r="241" ht="86" customHeight="1">
      <x:c r="A241" s="2" t="n">
        <x:v>27</x:v>
      </x:c>
      <x:c r="B241" s="2" t="str">
        <x:v>Lara Cortés</x:v>
      </x:c>
      <x:c r="C241" s="2" t="str">
        <x:v>Experiencia objetivo</x:v>
      </x:c>
      <x:c r="D241" s="23" t="str">
        <x:v>Programa aspiracional de plataforma. Laboratorio simulado de ingeniería; entidad ficticia. Itinerario formativo A, sin años de empleo reales.
Alcance: Hacer builds reproducibles y cadenas de dependencias inspeccionables.
Objetivos: Objetivo de portafolio: Build reproducible con versiones fijadas; Objetivo de portafolio: Inventario de dependencias y licencias
Verificación: No cursado ni demostrado; evaluar con artefactos y casos reproducibles.</x:v>
      </x:c>
      <x:c r="E241" s="23" t="str">
        <x:v>DISEÑADO_NO_EJECUTADO</x:v>
      </x:c>
      <x:c r="F241" s="23" t="str">
        <x:v>NO_ACREDITADA</x:v>
      </x:c>
    </x:row>
    <x:row r="242" ht="86" customHeight="1">
      <x:c r="A242" s="16" t="n">
        <x:v>27</x:v>
      </x:c>
      <x:c r="B242" s="16" t="str">
        <x:v>Lara Cortés</x:v>
      </x:c>
      <x:c r="C242" s="16" t="str">
        <x:v>Experiencia objetivo</x:v>
      </x:c>
      <x:c r="D242" s="26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242" s="26" t="str">
        <x:v>DISEÑADO_NO_EJECUTADO</x:v>
      </x:c>
      <x:c r="F242" s="26" t="str">
        <x:v>NO_ACREDITADA</x:v>
      </x:c>
    </x:row>
    <x:row r="243" ht="62" customHeight="1">
      <x:c r="A243" s="2" t="n">
        <x:v>27</x:v>
      </x:c>
      <x:c r="B243" s="2" t="str">
        <x:v>Lara Cortés</x:v>
      </x:c>
      <x:c r="C243" s="2" t="str">
        <x:v>Experiencia objetivo</x:v>
      </x:c>
      <x:c r="D243" s="23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243" s="23" t="str">
        <x:v>DISEÑADO_NO_EJECUTADO</x:v>
      </x:c>
      <x:c r="F243" s="23" t="str">
        <x:v>NO_ACREDITADA</x:v>
      </x:c>
    </x:row>
    <x:row r="244" ht="38" customHeight="1">
      <x:c r="A244" s="16" t="n">
        <x:v>27</x:v>
      </x:c>
      <x:c r="B244" s="16" t="str">
        <x:v>Lara Cortés</x:v>
      </x:c>
      <x:c r="C244" s="16" t="str">
        <x:v>Formación objetivo</x:v>
      </x:c>
      <x:c r="D244" s="26" t="str">
        <x:v>Ruta aspiracional avanzada en plataforma. Plan interno ficticio; no universidad real. No título obtenido.
Módulos: Integración continua; Seguridad de dependencias; Control de versiones; Reproducibilidad; Análisis estático</x:v>
      </x:c>
      <x:c r="E244" s="26" t="str">
        <x:v>DISEÑADO_NO_EJECUTADO</x:v>
      </x:c>
      <x:c r="F244" s="26" t="str">
        <x:v>NO_ACREDITADA</x:v>
      </x:c>
    </x:row>
    <x:row r="245" ht="38" customHeight="1">
      <x:c r="A245" s="2" t="n">
        <x:v>27</x:v>
      </x:c>
      <x:c r="B245" s="2" t="str">
        <x:v>Lara Cortés</x:v>
      </x:c>
      <x:c r="C245" s="2" t="str">
        <x:v>Formación objetivo</x:v>
      </x:c>
      <x:c r="D245" s="23" t="str">
        <x:v>Fundamentos de evidencia, seguridad y ética operativa. Plan interno ficticio. Formación objetivo, pendiente de prueba.
Módulos: Método experimental; Límites de autoridad; Datos no confiables; Revisión independiente</x:v>
      </x:c>
      <x:c r="E245" s="23" t="str">
        <x:v>DISEÑADO_NO_EJECUTADO</x:v>
      </x:c>
      <x:c r="F245" s="23" t="str">
        <x:v>NO_ACREDITADA</x:v>
      </x:c>
    </x:row>
    <x:row r="246" ht="38" customHeight="1">
      <x:c r="A246" s="16" t="n">
        <x:v>27</x:v>
      </x:c>
      <x:c r="B246" s="16" t="str">
        <x:v>Lara Cortés</x:v>
      </x:c>
      <x:c r="C246" s="16" t="str">
        <x:v>Certificación objetivo</x:v>
      </x:c>
      <x:c r="D246" s="26" t="str">
        <x:v>Evaluación práctica objetivo de Integración continua. No certificación real ni obtenida.
Aceptación: Caso nominal, adversarial, regresión y auditoría de evidencia</x:v>
      </x:c>
      <x:c r="E246" s="26" t="str">
        <x:v>DISEÑADO_NO_EJECUTADO</x:v>
      </x:c>
      <x:c r="F246" s="26" t="str">
        <x:v>NO_ACREDITADA</x:v>
      </x:c>
    </x:row>
    <x:row r="247" ht="38" customHeight="1">
      <x:c r="A247" s="2" t="n">
        <x:v>27</x:v>
      </x:c>
      <x:c r="B247" s="2" t="str">
        <x:v>Lara Cortés</x:v>
      </x:c>
      <x:c r="C247" s="2" t="str">
        <x:v>Certificación objetivo</x:v>
      </x:c>
      <x:c r="D247" s="23" t="str">
        <x:v>Evaluación práctica objetivo de Seguridad de dependencias. No certificación real ni obtenida.
Aceptación: Caso nominal, adversarial, regresión y auditoría de evidencia</x:v>
      </x:c>
      <x:c r="E247" s="23" t="str">
        <x:v>DISEÑADO_NO_EJECUTADO</x:v>
      </x:c>
      <x:c r="F247" s="23" t="str">
        <x:v>NO_ACREDITADA</x:v>
      </x:c>
    </x:row>
    <x:row r="248" ht="38" customHeight="1">
      <x:c r="A248" s="16" t="n">
        <x:v>27</x:v>
      </x:c>
      <x:c r="B248" s="16" t="str">
        <x:v>Lara Cortés</x:v>
      </x:c>
      <x:c r="C248" s="16" t="str">
        <x:v>Certificación objetivo</x:v>
      </x:c>
      <x:c r="D248" s="26" t="str">
        <x:v>Evaluación práctica objetivo de Control de versiones. No certificación real ni obtenida.
Aceptación: Caso nominal, adversarial, regresión y auditoría de evidencia</x:v>
      </x:c>
      <x:c r="E248" s="26" t="str">
        <x:v>DISEÑADO_NO_EJECUTADO</x:v>
      </x:c>
      <x:c r="F248" s="26" t="str">
        <x:v>NO_ACREDITADA</x:v>
      </x:c>
    </x:row>
    <x:row r="249" ht="38" customHeight="1">
      <x:c r="A249" s="2" t="n">
        <x:v>28</x:v>
      </x:c>
      <x:c r="B249" s="2" t="str">
        <x:v>Nora Medina</x:v>
      </x:c>
      <x:c r="C249" s="2" t="str">
        <x:v>Resumen</x:v>
      </x:c>
      <x:c r="D249" s="23" t="str">
        <x:v>Nora Medina es la identidad narrativa ficticia del rol Ingeniería de resiliencia y fallos. Perfil objetivo: Explorar fallos controlados en entornos autorizados y verificar recuperación. No hay historial profesional real atribuido.</x:v>
      </x:c>
      <x:c r="E249" s="23" t="str">
        <x:v>DISEÑADO_NO_EJECUTADO</x:v>
      </x:c>
      <x:c r="F249" s="23" t="str">
        <x:v>NO_ACREDITADA</x:v>
      </x:c>
    </x:row>
    <x:row r="250" ht="74" customHeight="1">
      <x:c r="A250" s="16" t="n">
        <x:v>28</x:v>
      </x:c>
      <x:c r="B250" s="16" t="str">
        <x:v>Nora Medina</x:v>
      </x:c>
      <x:c r="C250" s="16" t="str">
        <x:v>Experiencia objetivo</x:v>
      </x:c>
      <x:c r="D250" s="26" t="str">
        <x:v>Programa aspiracional de calidad. Laboratorio simulado de ingeniería; entidad ficticia. Itinerario formativo A, sin años de empleo reales.
Alcance: Explorar fallos controlados en entornos autorizados y verificar recuperación.
Objetivos: Objetivo de portafolio: Catálogo de fallos seguros; Objetivo de portafolio: Experimentos con límites y rollback
Verificación: No cursado ni demostrado; evaluar con artefactos y casos reproducibles.</x:v>
      </x:c>
      <x:c r="E250" s="26" t="str">
        <x:v>DISEÑADO_NO_EJECUTADO</x:v>
      </x:c>
      <x:c r="F250" s="26" t="str">
        <x:v>NO_ACREDITADA</x:v>
      </x:c>
    </x:row>
    <x:row r="251" ht="86" customHeight="1">
      <x:c r="A251" s="2" t="n">
        <x:v>28</x:v>
      </x:c>
      <x:c r="B251" s="2" t="str">
        <x:v>Nora Medina</x:v>
      </x:c>
      <x:c r="C251" s="2" t="str">
        <x:v>Experiencia objetivo</x:v>
      </x:c>
      <x:c r="D251" s="23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251" s="23" t="str">
        <x:v>DISEÑADO_NO_EJECUTADO</x:v>
      </x:c>
      <x:c r="F251" s="23" t="str">
        <x:v>NO_ACREDITADA</x:v>
      </x:c>
    </x:row>
    <x:row r="252" ht="62" customHeight="1">
      <x:c r="A252" s="16" t="n">
        <x:v>28</x:v>
      </x:c>
      <x:c r="B252" s="16" t="str">
        <x:v>Nora Medina</x:v>
      </x:c>
      <x:c r="C252" s="16" t="str">
        <x:v>Experiencia objetivo</x:v>
      </x:c>
      <x:c r="D252" s="26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252" s="26" t="str">
        <x:v>DISEÑADO_NO_EJECUTADO</x:v>
      </x:c>
      <x:c r="F252" s="26" t="str">
        <x:v>NO_ACREDITADA</x:v>
      </x:c>
    </x:row>
    <x:row r="253" ht="38" customHeight="1">
      <x:c r="A253" s="2" t="n">
        <x:v>28</x:v>
      </x:c>
      <x:c r="B253" s="2" t="str">
        <x:v>Nora Medina</x:v>
      </x:c>
      <x:c r="C253" s="2" t="str">
        <x:v>Formación objetivo</x:v>
      </x:c>
      <x:c r="D253" s="23" t="str">
        <x:v>Ruta aspiracional avanzada en calidad. Plan interno ficticio; no universidad real. No título obtenido.
Módulos: Recuperación; Pruebas de integración; Concurrencia; Respuesta a incidentes; Pruebas de propiedades</x:v>
      </x:c>
      <x:c r="E253" s="23" t="str">
        <x:v>DISEÑADO_NO_EJECUTADO</x:v>
      </x:c>
      <x:c r="F253" s="23" t="str">
        <x:v>NO_ACREDITADA</x:v>
      </x:c>
    </x:row>
    <x:row r="254" ht="38" customHeight="1">
      <x:c r="A254" s="16" t="n">
        <x:v>28</x:v>
      </x:c>
      <x:c r="B254" s="16" t="str">
        <x:v>Nora Medina</x:v>
      </x:c>
      <x:c r="C254" s="16" t="str">
        <x:v>Formación objetivo</x:v>
      </x:c>
      <x:c r="D254" s="26" t="str">
        <x:v>Fundamentos de evidencia, seguridad y ética operativa. Plan interno ficticio. Formación objetivo, pendiente de prueba.
Módulos: Método experimental; Límites de autoridad; Datos no confiables; Revisión independiente</x:v>
      </x:c>
      <x:c r="E254" s="26" t="str">
        <x:v>DISEÑADO_NO_EJECUTADO</x:v>
      </x:c>
      <x:c r="F254" s="26" t="str">
        <x:v>NO_ACREDITADA</x:v>
      </x:c>
    </x:row>
    <x:row r="255" ht="38" customHeight="1">
      <x:c r="A255" s="2" t="n">
        <x:v>28</x:v>
      </x:c>
      <x:c r="B255" s="2" t="str">
        <x:v>Nora Medina</x:v>
      </x:c>
      <x:c r="C255" s="2" t="str">
        <x:v>Certificación objetivo</x:v>
      </x:c>
      <x:c r="D255" s="23" t="str">
        <x:v>Evaluación práctica objetivo de Recuperación. No certificación real ni obtenida.
Aceptación: Caso nominal, adversarial, regresión y auditoría de evidencia</x:v>
      </x:c>
      <x:c r="E255" s="23" t="str">
        <x:v>DISEÑADO_NO_EJECUTADO</x:v>
      </x:c>
      <x:c r="F255" s="23" t="str">
        <x:v>NO_ACREDITADA</x:v>
      </x:c>
    </x:row>
    <x:row r="256" ht="38" customHeight="1">
      <x:c r="A256" s="16" t="n">
        <x:v>28</x:v>
      </x:c>
      <x:c r="B256" s="16" t="str">
        <x:v>Nora Medina</x:v>
      </x:c>
      <x:c r="C256" s="16" t="str">
        <x:v>Certificación objetivo</x:v>
      </x:c>
      <x:c r="D256" s="26" t="str">
        <x:v>Evaluación práctica objetivo de Pruebas de integración. No certificación real ni obtenida.
Aceptación: Caso nominal, adversarial, regresión y auditoría de evidencia</x:v>
      </x:c>
      <x:c r="E256" s="26" t="str">
        <x:v>DISEÑADO_NO_EJECUTADO</x:v>
      </x:c>
      <x:c r="F256" s="26" t="str">
        <x:v>NO_ACREDITADA</x:v>
      </x:c>
    </x:row>
    <x:row r="257" ht="38" customHeight="1">
      <x:c r="A257" s="2" t="n">
        <x:v>28</x:v>
      </x:c>
      <x:c r="B257" s="2" t="str">
        <x:v>Nora Medina</x:v>
      </x:c>
      <x:c r="C257" s="2" t="str">
        <x:v>Certificación objetivo</x:v>
      </x:c>
      <x:c r="D257" s="23" t="str">
        <x:v>Evaluación práctica objetivo de Concurrencia. No certificación real ni obtenida.
Aceptación: Caso nominal, adversarial, regresión y auditoría de evidencia</x:v>
      </x:c>
      <x:c r="E257" s="23" t="str">
        <x:v>DISEÑADO_NO_EJECUTADO</x:v>
      </x:c>
      <x:c r="F257" s="23" t="str">
        <x:v>NO_ACREDITADA</x:v>
      </x:c>
    </x:row>
    <x:row r="258" ht="38" customHeight="1">
      <x:c r="A258" s="16" t="n">
        <x:v>29</x:v>
      </x:c>
      <x:c r="B258" s="16" t="str">
        <x:v>Emilio Ponce</x:v>
      </x:c>
      <x:c r="C258" s="16" t="str">
        <x:v>Resumen</x:v>
      </x:c>
      <x:c r="D258" s="26" t="str">
        <x:v>Emilio Ponce es la identidad narrativa ficticia del rol Ingeniería de documentación y soporte. Perfil objetivo: Hacer que instalación, uso y recuperación sean reproducibles por otra persona. No hay historial profesional real atribuido.</x:v>
      </x:c>
      <x:c r="E258" s="26" t="str">
        <x:v>DISEÑADO_NO_EJECUTADO</x:v>
      </x:c>
      <x:c r="F258" s="26" t="str">
        <x:v>NO_ACREDITADA</x:v>
      </x:c>
    </x:row>
    <x:row r="259" ht="74" customHeight="1">
      <x:c r="A259" s="2" t="n">
        <x:v>29</x:v>
      </x:c>
      <x:c r="B259" s="2" t="str">
        <x:v>Emilio Ponce</x:v>
      </x:c>
      <x:c r="C259" s="2" t="str">
        <x:v>Experiencia objetivo</x:v>
      </x:c>
      <x:c r="D259" s="23" t="str">
        <x:v>Programa aspiracional de producto. Laboratorio simulado de ingeniería; entidad ficticia. Itinerario formativo A, sin años de empleo reales.
Alcance: Hacer que instalación, uso y recuperación sean reproducibles por otra persona.
Objetivos: Objetivo de portafolio: Guía de inicio validada; Objetivo de portafolio: Ejemplos ejecutables y troubleshooting
Verificación: No cursado ni demostrado; evaluar con artefactos y casos reproducibles.</x:v>
      </x:c>
      <x:c r="E259" s="23" t="str">
        <x:v>DISEÑADO_NO_EJECUTADO</x:v>
      </x:c>
      <x:c r="F259" s="23" t="str">
        <x:v>NO_ACREDITADA</x:v>
      </x:c>
    </x:row>
    <x:row r="260" ht="86" customHeight="1">
      <x:c r="A260" s="16" t="n">
        <x:v>29</x:v>
      </x:c>
      <x:c r="B260" s="16" t="str">
        <x:v>Emilio Ponce</x:v>
      </x:c>
      <x:c r="C260" s="16" t="str">
        <x:v>Experiencia objetivo</x:v>
      </x:c>
      <x:c r="D260" s="26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260" s="26" t="str">
        <x:v>DISEÑADO_NO_EJECUTADO</x:v>
      </x:c>
      <x:c r="F260" s="26" t="str">
        <x:v>NO_ACREDITADA</x:v>
      </x:c>
    </x:row>
    <x:row r="261" ht="62" customHeight="1">
      <x:c r="A261" s="2" t="n">
        <x:v>29</x:v>
      </x:c>
      <x:c r="B261" s="2" t="str">
        <x:v>Emilio Ponce</x:v>
      </x:c>
      <x:c r="C261" s="2" t="str">
        <x:v>Experiencia objetivo</x:v>
      </x:c>
      <x:c r="D261" s="23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261" s="23" t="str">
        <x:v>DISEÑADO_NO_EJECUTADO</x:v>
      </x:c>
      <x:c r="F261" s="23" t="str">
        <x:v>NO_ACREDITADA</x:v>
      </x:c>
    </x:row>
    <x:row r="262" ht="38" customHeight="1">
      <x:c r="A262" s="16" t="n">
        <x:v>29</x:v>
      </x:c>
      <x:c r="B262" s="16" t="str">
        <x:v>Emilio Ponce</x:v>
      </x:c>
      <x:c r="C262" s="16" t="str">
        <x:v>Formación objetivo</x:v>
      </x:c>
      <x:c r="D262" s="26" t="str">
        <x:v>Ruta aspiracional avanzada en producto. Plan interno ficticio; no universidad real. No título obtenido.
Módulos: Documentación técnica; Ingeniería de requisitos; Diseño de procesos; Captura de evidencia; Gestión de cambios</x:v>
      </x:c>
      <x:c r="E262" s="26" t="str">
        <x:v>DISEÑADO_NO_EJECUTADO</x:v>
      </x:c>
      <x:c r="F262" s="26" t="str">
        <x:v>NO_ACREDITADA</x:v>
      </x:c>
    </x:row>
    <x:row r="263" ht="38" customHeight="1">
      <x:c r="A263" s="2" t="n">
        <x:v>29</x:v>
      </x:c>
      <x:c r="B263" s="2" t="str">
        <x:v>Emilio Ponce</x:v>
      </x:c>
      <x:c r="C263" s="2" t="str">
        <x:v>Formación objetivo</x:v>
      </x:c>
      <x:c r="D263" s="23" t="str">
        <x:v>Fundamentos de evidencia, seguridad y ética operativa. Plan interno ficticio. Formación objetivo, pendiente de prueba.
Módulos: Método experimental; Límites de autoridad; Datos no confiables; Revisión independiente</x:v>
      </x:c>
      <x:c r="E263" s="23" t="str">
        <x:v>DISEÑADO_NO_EJECUTADO</x:v>
      </x:c>
      <x:c r="F263" s="23" t="str">
        <x:v>NO_ACREDITADA</x:v>
      </x:c>
    </x:row>
    <x:row r="264" ht="38" customHeight="1">
      <x:c r="A264" s="16" t="n">
        <x:v>29</x:v>
      </x:c>
      <x:c r="B264" s="16" t="str">
        <x:v>Emilio Ponce</x:v>
      </x:c>
      <x:c r="C264" s="16" t="str">
        <x:v>Certificación objetivo</x:v>
      </x:c>
      <x:c r="D264" s="26" t="str">
        <x:v>Evaluación práctica objetivo de Documentación técnica. No certificación real ni obtenida.
Aceptación: Caso nominal, adversarial, regresión y auditoría de evidencia</x:v>
      </x:c>
      <x:c r="E264" s="26" t="str">
        <x:v>DISEÑADO_NO_EJECUTADO</x:v>
      </x:c>
      <x:c r="F264" s="26" t="str">
        <x:v>NO_ACREDITADA</x:v>
      </x:c>
    </x:row>
    <x:row r="265" ht="38" customHeight="1">
      <x:c r="A265" s="2" t="n">
        <x:v>29</x:v>
      </x:c>
      <x:c r="B265" s="2" t="str">
        <x:v>Emilio Ponce</x:v>
      </x:c>
      <x:c r="C265" s="2" t="str">
        <x:v>Certificación objetivo</x:v>
      </x:c>
      <x:c r="D265" s="23" t="str">
        <x:v>Evaluación práctica objetivo de Ingeniería de requisitos. No certificación real ni obtenida.
Aceptación: Caso nominal, adversarial, regresión y auditoría de evidencia</x:v>
      </x:c>
      <x:c r="E265" s="23" t="str">
        <x:v>DISEÑADO_NO_EJECUTADO</x:v>
      </x:c>
      <x:c r="F265" s="23" t="str">
        <x:v>NO_ACREDITADA</x:v>
      </x:c>
    </x:row>
    <x:row r="266" ht="38" customHeight="1">
      <x:c r="A266" s="16" t="n">
        <x:v>29</x:v>
      </x:c>
      <x:c r="B266" s="16" t="str">
        <x:v>Emilio Ponce</x:v>
      </x:c>
      <x:c r="C266" s="16" t="str">
        <x:v>Certificación objetivo</x:v>
      </x:c>
      <x:c r="D266" s="26" t="str">
        <x:v>Evaluación práctica objetivo de Diseño de procesos. No certificación real ni obtenida.
Aceptación: Caso nominal, adversarial, regresión y auditoría de evidencia</x:v>
      </x:c>
      <x:c r="E266" s="26" t="str">
        <x:v>DISEÑADO_NO_EJECUTADO</x:v>
      </x:c>
      <x:c r="F266" s="26" t="str">
        <x:v>NO_ACREDITADA</x:v>
      </x:c>
    </x:row>
    <x:row r="267" ht="38" customHeight="1">
      <x:c r="A267" s="2" t="n">
        <x:v>30</x:v>
      </x:c>
      <x:c r="B267" s="2" t="str">
        <x:v>Álvaro Del Valle</x:v>
      </x:c>
      <x:c r="C267" s="2" t="str">
        <x:v>Resumen</x:v>
      </x:c>
      <x:c r="D267" s="23" t="str">
        <x:v>Álvaro Del Valle es la identidad narrativa ficticia del rol Ingeniería de búsqueda y recuperación. Perfil objetivo: Medir precisión y cobertura de recuperación con conjuntos de evaluación. No hay historial profesional real atribuido.</x:v>
      </x:c>
      <x:c r="E267" s="23" t="str">
        <x:v>DISEÑADO_NO_EJECUTADO</x:v>
      </x:c>
      <x:c r="F267" s="23" t="str">
        <x:v>NO_ACREDITADA</x:v>
      </x:c>
    </x:row>
    <x:row r="268" ht="74" customHeight="1">
      <x:c r="A268" s="16" t="n">
        <x:v>30</x:v>
      </x:c>
      <x:c r="B268" s="16" t="str">
        <x:v>Álvaro Del Valle</x:v>
      </x:c>
      <x:c r="C268" s="16" t="str">
        <x:v>Experiencia objetivo</x:v>
      </x:c>
      <x:c r="D268" s="26" t="str">
        <x:v>Programa aspiracional de datos. Laboratorio simulado de ingeniería; entidad ficticia. Itinerario formativo A, sin años de empleo reales.
Alcance: Medir precisión y cobertura de recuperación con conjuntos de evaluación.
Objetivos: Objetivo de portafolio: Corpus de evaluación versionado; Objetivo de portafolio: Métricas de ranking y cobertura
Verificación: No cursado ni demostrado; evaluar con artefactos y casos reproducibles.</x:v>
      </x:c>
      <x:c r="E268" s="26" t="str">
        <x:v>DISEÑADO_NO_EJECUTADO</x:v>
      </x:c>
      <x:c r="F268" s="26" t="str">
        <x:v>NO_ACREDITADA</x:v>
      </x:c>
    </x:row>
    <x:row r="269" ht="86" customHeight="1">
      <x:c r="A269" s="2" t="n">
        <x:v>30</x:v>
      </x:c>
      <x:c r="B269" s="2" t="str">
        <x:v>Álvaro Del Valle</x:v>
      </x:c>
      <x:c r="C269" s="2" t="str">
        <x:v>Experiencia objetivo</x:v>
      </x:c>
      <x:c r="D269" s="23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269" s="23" t="str">
        <x:v>DISEÑADO_NO_EJECUTADO</x:v>
      </x:c>
      <x:c r="F269" s="23" t="str">
        <x:v>NO_ACREDITADA</x:v>
      </x:c>
    </x:row>
    <x:row r="270" ht="62" customHeight="1">
      <x:c r="A270" s="16" t="n">
        <x:v>30</x:v>
      </x:c>
      <x:c r="B270" s="16" t="str">
        <x:v>Álvaro Del Valle</x:v>
      </x:c>
      <x:c r="C270" s="16" t="str">
        <x:v>Experiencia objetivo</x:v>
      </x:c>
      <x:c r="D270" s="26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270" s="26" t="str">
        <x:v>DISEÑADO_NO_EJECUTADO</x:v>
      </x:c>
      <x:c r="F270" s="26" t="str">
        <x:v>NO_ACREDITADA</x:v>
      </x:c>
    </x:row>
    <x:row r="271" ht="38" customHeight="1">
      <x:c r="A271" s="2" t="n">
        <x:v>30</x:v>
      </x:c>
      <x:c r="B271" s="2" t="str">
        <x:v>Álvaro Del Valle</x:v>
      </x:c>
      <x:c r="C271" s="2" t="str">
        <x:v>Formación objetivo</x:v>
      </x:c>
      <x:c r="D271" s="23" t="str">
        <x:v>Ruta aspiracional avanzada en datos. Plan interno ficticio; no universidad real. No título obtenido.
Módulos: Búsqueda; Evaluación de agentes; Calidad de datos; Optimización; Proveniencia de datos</x:v>
      </x:c>
      <x:c r="E271" s="23" t="str">
        <x:v>DISEÑADO_NO_EJECUTADO</x:v>
      </x:c>
      <x:c r="F271" s="23" t="str">
        <x:v>NO_ACREDITADA</x:v>
      </x:c>
    </x:row>
    <x:row r="272" ht="38" customHeight="1">
      <x:c r="A272" s="16" t="n">
        <x:v>30</x:v>
      </x:c>
      <x:c r="B272" s="16" t="str">
        <x:v>Álvaro Del Valle</x:v>
      </x:c>
      <x:c r="C272" s="16" t="str">
        <x:v>Formación objetivo</x:v>
      </x:c>
      <x:c r="D272" s="26" t="str">
        <x:v>Fundamentos de evidencia, seguridad y ética operativa. Plan interno ficticio. Formación objetivo, pendiente de prueba.
Módulos: Método experimental; Límites de autoridad; Datos no confiables; Revisión independiente</x:v>
      </x:c>
      <x:c r="E272" s="26" t="str">
        <x:v>DISEÑADO_NO_EJECUTADO</x:v>
      </x:c>
      <x:c r="F272" s="26" t="str">
        <x:v>NO_ACREDITADA</x:v>
      </x:c>
    </x:row>
    <x:row r="273" ht="38" customHeight="1">
      <x:c r="A273" s="2" t="n">
        <x:v>30</x:v>
      </x:c>
      <x:c r="B273" s="2" t="str">
        <x:v>Álvaro Del Valle</x:v>
      </x:c>
      <x:c r="C273" s="2" t="str">
        <x:v>Certificación objetivo</x:v>
      </x:c>
      <x:c r="D273" s="23" t="str">
        <x:v>Evaluación práctica objetivo de Búsqueda. No certificación real ni obtenida.
Aceptación: Caso nominal, adversarial, regresión y auditoría de evidencia</x:v>
      </x:c>
      <x:c r="E273" s="23" t="str">
        <x:v>DISEÑADO_NO_EJECUTADO</x:v>
      </x:c>
      <x:c r="F273" s="23" t="str">
        <x:v>NO_ACREDITADA</x:v>
      </x:c>
    </x:row>
    <x:row r="274" ht="38" customHeight="1">
      <x:c r="A274" s="16" t="n">
        <x:v>30</x:v>
      </x:c>
      <x:c r="B274" s="16" t="str">
        <x:v>Álvaro Del Valle</x:v>
      </x:c>
      <x:c r="C274" s="16" t="str">
        <x:v>Certificación objetivo</x:v>
      </x:c>
      <x:c r="D274" s="26" t="str">
        <x:v>Evaluación práctica objetivo de Evaluación de agentes. No certificación real ni obtenida.
Aceptación: Caso nominal, adversarial, regresión y auditoría de evidencia</x:v>
      </x:c>
      <x:c r="E274" s="26" t="str">
        <x:v>DISEÑADO_NO_EJECUTADO</x:v>
      </x:c>
      <x:c r="F274" s="26" t="str">
        <x:v>NO_ACREDITADA</x:v>
      </x:c>
    </x:row>
    <x:row r="275" ht="38" customHeight="1">
      <x:c r="A275" s="2" t="n">
        <x:v>30</x:v>
      </x:c>
      <x:c r="B275" s="2" t="str">
        <x:v>Álvaro Del Valle</x:v>
      </x:c>
      <x:c r="C275" s="2" t="str">
        <x:v>Certificación objetivo</x:v>
      </x:c>
      <x:c r="D275" s="23" t="str">
        <x:v>Evaluación práctica objetivo de Calidad de datos. No certificación real ni obtenida.
Aceptación: Caso nominal, adversarial, regresión y auditoría de evidencia</x:v>
      </x:c>
      <x:c r="E275" s="23" t="str">
        <x:v>DISEÑADO_NO_EJECUTADO</x:v>
      </x:c>
      <x:c r="F275" s="23" t="str">
        <x:v>NO_ACREDITADA</x:v>
      </x:c>
    </x:row>
    <x:row r="276" ht="38" customHeight="1">
      <x:c r="A276" s="16" t="n">
        <x:v>31</x:v>
      </x:c>
      <x:c r="B276" s="16" t="str">
        <x:v>León Arenas</x:v>
      </x:c>
      <x:c r="C276" s="16" t="str">
        <x:v>Resumen</x:v>
      </x:c>
      <x:c r="D276" s="26" t="str">
        <x:v>León Arenas es la identidad narrativa ficticia del rol Ingeniería de costes y sostenibilidad. Perfil objetivo: Medir coste técnico por resultado útil con presupuestos explícitos. No hay historial profesional real atribuido.</x:v>
      </x:c>
      <x:c r="E276" s="26" t="str">
        <x:v>DISEÑADO_NO_EJECUTADO</x:v>
      </x:c>
      <x:c r="F276" s="26" t="str">
        <x:v>NO_ACREDITADA</x:v>
      </x:c>
    </x:row>
    <x:row r="277" ht="74" customHeight="1">
      <x:c r="A277" s="2" t="n">
        <x:v>31</x:v>
      </x:c>
      <x:c r="B277" s="2" t="str">
        <x:v>León Arenas</x:v>
      </x:c>
      <x:c r="C277" s="2" t="str">
        <x:v>Experiencia objetivo</x:v>
      </x:c>
      <x:c r="D277" s="23" t="str">
        <x:v>Programa aspiracional de operaciones. Laboratorio simulado de ingeniería; entidad ficticia. Itinerario formativo A, sin años de empleo reales.
Alcance: Medir coste técnico por resultado útil con presupuestos explícitos.
Objetivos: Objetivo de portafolio: Modelo de coste con fuentes; Objetivo de portafolio: Presupuesto y alertas por workload
Verificación: No cursado ni demostrado; evaluar con artefactos y casos reproducibles.</x:v>
      </x:c>
      <x:c r="E277" s="23" t="str">
        <x:v>DISEÑADO_NO_EJECUTADO</x:v>
      </x:c>
      <x:c r="F277" s="23" t="str">
        <x:v>NO_ACREDITADA</x:v>
      </x:c>
    </x:row>
    <x:row r="278" ht="86" customHeight="1">
      <x:c r="A278" s="16" t="n">
        <x:v>31</x:v>
      </x:c>
      <x:c r="B278" s="16" t="str">
        <x:v>León Arenas</x:v>
      </x:c>
      <x:c r="C278" s="16" t="str">
        <x:v>Experiencia objetivo</x:v>
      </x:c>
      <x:c r="D278" s="26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278" s="26" t="str">
        <x:v>DISEÑADO_NO_EJECUTADO</x:v>
      </x:c>
      <x:c r="F278" s="26" t="str">
        <x:v>NO_ACREDITADA</x:v>
      </x:c>
    </x:row>
    <x:row r="279" ht="62" customHeight="1">
      <x:c r="A279" s="2" t="n">
        <x:v>31</x:v>
      </x:c>
      <x:c r="B279" s="2" t="str">
        <x:v>León Arenas</x:v>
      </x:c>
      <x:c r="C279" s="2" t="str">
        <x:v>Experiencia objetivo</x:v>
      </x:c>
      <x:c r="D279" s="23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279" s="23" t="str">
        <x:v>DISEÑADO_NO_EJECUTADO</x:v>
      </x:c>
      <x:c r="F279" s="23" t="str">
        <x:v>NO_ACREDITADA</x:v>
      </x:c>
    </x:row>
    <x:row r="280" ht="38" customHeight="1">
      <x:c r="A280" s="16" t="n">
        <x:v>31</x:v>
      </x:c>
      <x:c r="B280" s="16" t="str">
        <x:v>León Arenas</x:v>
      </x:c>
      <x:c r="C280" s="16" t="str">
        <x:v>Formación objetivo</x:v>
      </x:c>
      <x:c r="D280" s="26" t="str">
        <x:v>Ruta aspiracional avanzada en operaciones. Plan interno ficticio; no universidad real. No título obtenido.
Módulos: Presupuestos de recursos; Capacidad; Métricas de producto; Análisis de sensibilidad; Priorización basada en evidencia</x:v>
      </x:c>
      <x:c r="E280" s="26" t="str">
        <x:v>DISEÑADO_NO_EJECUTADO</x:v>
      </x:c>
      <x:c r="F280" s="26" t="str">
        <x:v>NO_ACREDITADA</x:v>
      </x:c>
    </x:row>
    <x:row r="281" ht="38" customHeight="1">
      <x:c r="A281" s="2" t="n">
        <x:v>31</x:v>
      </x:c>
      <x:c r="B281" s="2" t="str">
        <x:v>León Arenas</x:v>
      </x:c>
      <x:c r="C281" s="2" t="str">
        <x:v>Formación objetivo</x:v>
      </x:c>
      <x:c r="D281" s="23" t="str">
        <x:v>Fundamentos de evidencia, seguridad y ética operativa. Plan interno ficticio. Formación objetivo, pendiente de prueba.
Módulos: Método experimental; Límites de autoridad; Datos no confiables; Revisión independiente</x:v>
      </x:c>
      <x:c r="E281" s="23" t="str">
        <x:v>DISEÑADO_NO_EJECUTADO</x:v>
      </x:c>
      <x:c r="F281" s="23" t="str">
        <x:v>NO_ACREDITADA</x:v>
      </x:c>
    </x:row>
    <x:row r="282" ht="38" customHeight="1">
      <x:c r="A282" s="16" t="n">
        <x:v>31</x:v>
      </x:c>
      <x:c r="B282" s="16" t="str">
        <x:v>León Arenas</x:v>
      </x:c>
      <x:c r="C282" s="16" t="str">
        <x:v>Certificación objetivo</x:v>
      </x:c>
      <x:c r="D282" s="26" t="str">
        <x:v>Evaluación práctica objetivo de Presupuestos de recursos. No certificación real ni obtenida.
Aceptación: Caso nominal, adversarial, regresión y auditoría de evidencia</x:v>
      </x:c>
      <x:c r="E282" s="26" t="str">
        <x:v>DISEÑADO_NO_EJECUTADO</x:v>
      </x:c>
      <x:c r="F282" s="26" t="str">
        <x:v>NO_ACREDITADA</x:v>
      </x:c>
    </x:row>
    <x:row r="283" ht="38" customHeight="1">
      <x:c r="A283" s="2" t="n">
        <x:v>31</x:v>
      </x:c>
      <x:c r="B283" s="2" t="str">
        <x:v>León Arenas</x:v>
      </x:c>
      <x:c r="C283" s="2" t="str">
        <x:v>Certificación objetivo</x:v>
      </x:c>
      <x:c r="D283" s="23" t="str">
        <x:v>Evaluación práctica objetivo de Capacidad. No certificación real ni obtenida.
Aceptación: Caso nominal, adversarial, regresión y auditoría de evidencia</x:v>
      </x:c>
      <x:c r="E283" s="23" t="str">
        <x:v>DISEÑADO_NO_EJECUTADO</x:v>
      </x:c>
      <x:c r="F283" s="23" t="str">
        <x:v>NO_ACREDITADA</x:v>
      </x:c>
    </x:row>
    <x:row r="284" ht="38" customHeight="1">
      <x:c r="A284" s="16" t="n">
        <x:v>31</x:v>
      </x:c>
      <x:c r="B284" s="16" t="str">
        <x:v>León Arenas</x:v>
      </x:c>
      <x:c r="C284" s="16" t="str">
        <x:v>Certificación objetivo</x:v>
      </x:c>
      <x:c r="D284" s="26" t="str">
        <x:v>Evaluación práctica objetivo de Métricas de producto. No certificación real ni obtenida.
Aceptación: Caso nominal, adversarial, regresión y auditoría de evidencia</x:v>
      </x:c>
      <x:c r="E284" s="26" t="str">
        <x:v>DISEÑADO_NO_EJECUTADO</x:v>
      </x:c>
      <x:c r="F284" s="26" t="str">
        <x:v>NO_ACREDITADA</x:v>
      </x:c>
    </x:row>
    <x:row r="285" ht="38" customHeight="1">
      <x:c r="A285" s="2" t="n">
        <x:v>32</x:v>
      </x:c>
      <x:c r="B285" s="2" t="str">
        <x:v>Marta Cifuentes</x:v>
      </x:c>
      <x:c r="C285" s="2" t="str">
        <x:v>Resumen</x:v>
      </x:c>
      <x:c r="D285" s="23" t="str">
        <x:v>Marta Cifuentes es la identidad narrativa ficticia del rol Ingeniería móvil y dispositivos. Perfil objetivo: Asegurar uso coherente en dispositivos y condiciones de red variables. No hay historial profesional real atribuido.</x:v>
      </x:c>
      <x:c r="E285" s="23" t="str">
        <x:v>DISEÑADO_NO_EJECUTADO</x:v>
      </x:c>
      <x:c r="F285" s="23" t="str">
        <x:v>NO_ACREDITADA</x:v>
      </x:c>
    </x:row>
    <x:row r="286" ht="86" customHeight="1">
      <x:c r="A286" s="16" t="n">
        <x:v>32</x:v>
      </x:c>
      <x:c r="B286" s="16" t="str">
        <x:v>Marta Cifuentes</x:v>
      </x:c>
      <x:c r="C286" s="16" t="str">
        <x:v>Experiencia objetivo</x:v>
      </x:c>
      <x:c r="D286" s="26" t="str">
        <x:v>Programa aspiracional de ingeniería. Laboratorio simulado de ingeniería; entidad ficticia. Itinerario formativo A, sin años de empleo reales.
Alcance: Asegurar uso coherente en dispositivos y condiciones de red variables.
Objetivos: Objetivo de portafolio: Matriz de dispositivos y orientaciones; Objetivo de portafolio: Pruebas offline, red lenta y reanudación
Verificación: No cursado ni demostrado; evaluar con artefactos y casos reproducibles.</x:v>
      </x:c>
      <x:c r="E286" s="26" t="str">
        <x:v>DISEÑADO_NO_EJECUTADO</x:v>
      </x:c>
      <x:c r="F286" s="26" t="str">
        <x:v>NO_ACREDITADA</x:v>
      </x:c>
    </x:row>
    <x:row r="287" ht="86" customHeight="1">
      <x:c r="A287" s="2" t="n">
        <x:v>32</x:v>
      </x:c>
      <x:c r="B287" s="2" t="str">
        <x:v>Marta Cifuentes</x:v>
      </x:c>
      <x:c r="C287" s="2" t="str">
        <x:v>Experiencia objetivo</x:v>
      </x:c>
      <x:c r="D287" s="23" t="str">
        <x:v>Residencia simulada de calidad y operación. Entorno de práctica ficticio. Itinerario formativo B, sin experiencia laboral acreditada.
Alcance: Practicar incidentes, restricciones, contraejemplos y recuperación en un sandbox sin datos sensibles.
Objetivos: Resolver un caso nominal y tres casos adversariales sin ampliar autoridad; Entregar decisiones y evidencia que otra persona pueda reproducir
Verificación: Objetivos aspiracionales, no logros obtenidos.</x:v>
      </x:c>
      <x:c r="E287" s="23" t="str">
        <x:v>DISEÑADO_NO_EJECUTADO</x:v>
      </x:c>
      <x:c r="F287" s="23" t="str">
        <x:v>NO_ACREDITADA</x:v>
      </x:c>
    </x:row>
    <x:row r="288" ht="62" customHeight="1">
      <x:c r="A288" s="16" t="n">
        <x:v>32</x:v>
      </x:c>
      <x:c r="B288" s="16" t="str">
        <x:v>Marta Cifuentes</x:v>
      </x:c>
      <x:c r="C288" s="16" t="str">
        <x:v>Experiencia objetivo</x:v>
      </x:c>
      <x:c r="D288" s="26" t="str">
        <x:v>Mentoría y supervisión aspiracional. Programa interno ficticio. Itinerario formativo C.
Alcance: Dar feedback verificable, controlar un máximo de reportes directos y distinguir revisión de independencia.
Objetivos: Asignar tareas con criterio de aceptación y riesgo; Guiar una corrección justificada por fallo y medir el retest
Verificación: La aprobación requiere evaluación independiente real.</x:v>
      </x:c>
      <x:c r="E288" s="26" t="str">
        <x:v>DISEÑADO_NO_EJECUTADO</x:v>
      </x:c>
      <x:c r="F288" s="26" t="str">
        <x:v>NO_ACREDITADA</x:v>
      </x:c>
    </x:row>
    <x:row r="289" ht="38" customHeight="1">
      <x:c r="A289" s="2" t="n">
        <x:v>32</x:v>
      </x:c>
      <x:c r="B289" s="2" t="str">
        <x:v>Marta Cifuentes</x:v>
      </x:c>
      <x:c r="C289" s="2" t="str">
        <x:v>Formación objetivo</x:v>
      </x:c>
      <x:c r="D289" s="23" t="str">
        <x:v>Ruta aspiracional avanzada en ingeniería. Plan interno ficticio; no universidad real. No título obtenido.
Módulos: Interfaces móviles; Accesibilidad; Gestión de estado; Compatibilidad; Pruebas de interfaz</x:v>
      </x:c>
      <x:c r="E289" s="23" t="str">
        <x:v>DISEÑADO_NO_EJECUTADO</x:v>
      </x:c>
      <x:c r="F289" s="23" t="str">
        <x:v>NO_ACREDITADA</x:v>
      </x:c>
    </x:row>
    <x:row r="290" ht="38" customHeight="1">
      <x:c r="A290" s="16" t="n">
        <x:v>32</x:v>
      </x:c>
      <x:c r="B290" s="16" t="str">
        <x:v>Marta Cifuentes</x:v>
      </x:c>
      <x:c r="C290" s="16" t="str">
        <x:v>Formación objetivo</x:v>
      </x:c>
      <x:c r="D290" s="26" t="str">
        <x:v>Fundamentos de evidencia, seguridad y ética operativa. Plan interno ficticio. Formación objetivo, pendiente de prueba.
Módulos: Método experimental; Límites de autoridad; Datos no confiables; Revisión independiente</x:v>
      </x:c>
      <x:c r="E290" s="26" t="str">
        <x:v>DISEÑADO_NO_EJECUTADO</x:v>
      </x:c>
      <x:c r="F290" s="26" t="str">
        <x:v>NO_ACREDITADA</x:v>
      </x:c>
    </x:row>
    <x:row r="291" ht="38" customHeight="1">
      <x:c r="A291" s="2" t="n">
        <x:v>32</x:v>
      </x:c>
      <x:c r="B291" s="2" t="str">
        <x:v>Marta Cifuentes</x:v>
      </x:c>
      <x:c r="C291" s="2" t="str">
        <x:v>Certificación objetivo</x:v>
      </x:c>
      <x:c r="D291" s="23" t="str">
        <x:v>Evaluación práctica objetivo de Interfaces móviles. No certificación real ni obtenida.
Aceptación: Caso nominal, adversarial, regresión y auditoría de evidencia</x:v>
      </x:c>
      <x:c r="E291" s="23" t="str">
        <x:v>DISEÑADO_NO_EJECUTADO</x:v>
      </x:c>
      <x:c r="F291" s="23" t="str">
        <x:v>NO_ACREDITADA</x:v>
      </x:c>
    </x:row>
    <x:row r="292" ht="38" customHeight="1">
      <x:c r="A292" s="16" t="n">
        <x:v>32</x:v>
      </x:c>
      <x:c r="B292" s="16" t="str">
        <x:v>Marta Cifuentes</x:v>
      </x:c>
      <x:c r="C292" s="16" t="str">
        <x:v>Certificación objetivo</x:v>
      </x:c>
      <x:c r="D292" s="26" t="str">
        <x:v>Evaluación práctica objetivo de Accesibilidad. No certificación real ni obtenida.
Aceptación: Caso nominal, adversarial, regresión y auditoría de evidencia</x:v>
      </x:c>
      <x:c r="E292" s="26" t="str">
        <x:v>DISEÑADO_NO_EJECUTADO</x:v>
      </x:c>
      <x:c r="F292" s="26" t="str">
        <x:v>NO_ACREDITADA</x:v>
      </x:c>
    </x:row>
    <x:row r="293" ht="38" customHeight="1">
      <x:c r="A293" s="2" t="n">
        <x:v>32</x:v>
      </x:c>
      <x:c r="B293" s="2" t="str">
        <x:v>Marta Cifuentes</x:v>
      </x:c>
      <x:c r="C293" s="2" t="str">
        <x:v>Certificación objetivo</x:v>
      </x:c>
      <x:c r="D293" s="23" t="str">
        <x:v>Evaluación práctica objetivo de Gestión de estado. No certificación real ni obtenida.
Aceptación: Caso nominal, adversarial, regresión y auditoría de evidencia</x:v>
      </x:c>
      <x:c r="E293" s="23" t="str">
        <x:v>DISEÑADO_NO_EJECUTADO</x:v>
      </x:c>
      <x:c r="F293" s="23" t="str">
        <x:v>NO_ACREDITADA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25" hidden="0" customWidth="1"/>
    <x:col min="3" max="3" width="30" hidden="0" customWidth="1"/>
    <x:col min="4" max="4" width="42" hidden="0" customWidth="1"/>
    <x:col min="5" max="5" width="21" hidden="0" customWidth="1"/>
    <x:col min="6" max="6" width="24" hidden="0" customWidth="1"/>
    <x:col min="7" max="7" width="33" hidden="0" customWidth="1"/>
    <x:col min="8" max="8" width="6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Competencias y validación</x:v>
      </x:c>
      <x:c r="B2" s="2"/>
      <x:c r="C2" s="2"/>
      <x:c r="D2" s="2"/>
      <x:c r="E2" s="2"/>
      <x:c r="F2" s="2"/>
      <x:c r="G2" s="2"/>
      <x:c r="H2" s="2"/>
    </x:row>
    <x:row r="3" ht="8" customHeight="1">
      <x:c r="A3" s="4"/>
      <x:c r="B3" s="4"/>
      <x:c r="C3" s="4"/>
      <x:c r="D3" s="4"/>
      <x:c r="E3" s="4"/>
      <x:c r="F3" s="4"/>
      <x:c r="G3" s="4"/>
      <x:c r="H3" s="4"/>
    </x:row>
    <x:row r="4" ht="25" customHeight="1">
      <x:c r="A4" s="25" t="str">
        <x:v>La habilidad descrita no implica que una herramienta esté instalada ni que la competencia haya sido demostrada.</x:v>
      </x:c>
      <x:c r="B4" s="2"/>
      <x:c r="C4" s="2"/>
      <x:c r="D4" s="2"/>
      <x:c r="E4" s="2"/>
      <x:c r="F4" s="2"/>
      <x:c r="G4" s="2"/>
      <x:c r="H4" s="2"/>
    </x:row>
    <x:row r="5" ht="34" customHeight="1">
      <x:c r="A5" s="13" t="str">
        <x:v>Slot</x:v>
      </x:c>
      <x:c r="B5" s="14" t="str">
        <x:v>Nombre ficticio</x:v>
      </x:c>
      <x:c r="C5" s="14" t="str">
        <x:v>ID skill</x:v>
      </x:c>
      <x:c r="D5" s="14" t="str">
        <x:v>Competencia</x:v>
      </x:c>
      <x:c r="E5" s="14" t="str">
        <x:v>Nivel objetivo</x:v>
      </x:c>
      <x:c r="F5" s="14" t="str">
        <x:v>Nivel demostrado</x:v>
      </x:c>
      <x:c r="G5" s="14" t="str">
        <x:v>Evidencia</x:v>
      </x:c>
      <x:c r="H5" s="15" t="str">
        <x:v>Próxima validación</x:v>
      </x:c>
    </x:row>
    <x:row r="6" ht="42" customHeight="1">
      <x:c r="A6" s="16" t="n">
        <x:v>1</x:v>
      </x:c>
      <x:c r="B6" s="16" t="str">
        <x:v>Elena Valdés</x:v>
      </x:c>
      <x:c r="C6" s="21" t="str">
        <x:v>4237f721-34c6-5a88-93f8-cbcb058d8719</x:v>
      </x:c>
      <x:c r="D6" s="21" t="str">
        <x:v>Planificación DAG</x:v>
      </x:c>
      <x:c r="E6" s="21" t="n">
        <x:v>5</x:v>
      </x:c>
      <x:c r="F6" s="19" t="str">
        <x:v>NO_EVALUADA</x:v>
      </x:c>
      <x:c r="G6" s="19" t="str">
        <x:v>Pendiente de evaluación práctica independiente.</x:v>
      </x:c>
      <x:c r="H6" s="19" t="str">
        <x:v>Evaluación y artefacto reproducible pendientes.</x:v>
      </x:c>
    </x:row>
    <x:row r="7" ht="42" customHeight="1">
      <x:c r="A7" s="2" t="n">
        <x:v>1</x:v>
      </x:c>
      <x:c r="B7" s="2" t="str">
        <x:v>Elena Valdés</x:v>
      </x:c>
      <x:c r="C7" s="22" t="str">
        <x:v>715b4048-2e0a-5640-a043-99e43c9973f5</x:v>
      </x:c>
      <x:c r="D7" s="22" t="str">
        <x:v>Gestión de riesgos</x:v>
      </x:c>
      <x:c r="E7" s="22" t="n">
        <x:v>5</x:v>
      </x:c>
      <x:c r="F7" s="19" t="str">
        <x:v>NO_EVALUADA</x:v>
      </x:c>
      <x:c r="G7" s="19" t="str">
        <x:v>Pendiente de evaluación práctica independiente.</x:v>
      </x:c>
      <x:c r="H7" s="19" t="str">
        <x:v>Evaluación y artefacto reproducible pendientes.</x:v>
      </x:c>
    </x:row>
    <x:row r="8" ht="42" customHeight="1">
      <x:c r="A8" s="16" t="n">
        <x:v>1</x:v>
      </x:c>
      <x:c r="B8" s="16" t="str">
        <x:v>Elena Valdés</x:v>
      </x:c>
      <x:c r="C8" s="21" t="str">
        <x:v>9cd1941a-8256-54b1-86db-f48fd7844e90</x:v>
      </x:c>
      <x:c r="D8" s="21" t="str">
        <x:v>Diseño organizacional</x:v>
      </x:c>
      <x:c r="E8" s="21" t="n">
        <x:v>5</x:v>
      </x:c>
      <x:c r="F8" s="19" t="str">
        <x:v>NO_EVALUADA</x:v>
      </x:c>
      <x:c r="G8" s="19" t="str">
        <x:v>Pendiente de evaluación práctica independiente.</x:v>
      </x:c>
      <x:c r="H8" s="19" t="str">
        <x:v>Evaluación y artefacto reproducible pendientes.</x:v>
      </x:c>
    </x:row>
    <x:row r="9" ht="42" customHeight="1">
      <x:c r="A9" s="2" t="n">
        <x:v>1</x:v>
      </x:c>
      <x:c r="B9" s="2" t="str">
        <x:v>Elena Valdés</x:v>
      </x:c>
      <x:c r="C9" s="22" t="str">
        <x:v>7c65ae99-5c83-560e-ab9c-aaf1ddc2aa4e</x:v>
      </x:c>
      <x:c r="D9" s="22" t="str">
        <x:v>Priorización basada en evidencia</x:v>
      </x:c>
      <x:c r="E9" s="22" t="n">
        <x:v>5</x:v>
      </x:c>
      <x:c r="F9" s="19" t="str">
        <x:v>NO_EVALUADA</x:v>
      </x:c>
      <x:c r="G9" s="19" t="str">
        <x:v>Pendiente de evaluación práctica independiente.</x:v>
      </x:c>
      <x:c r="H9" s="19" t="str">
        <x:v>Evaluación y artefacto reproducible pendientes.</x:v>
      </x:c>
    </x:row>
    <x:row r="10" ht="42" customHeight="1">
      <x:c r="A10" s="16" t="n">
        <x:v>1</x:v>
      </x:c>
      <x:c r="B10" s="16" t="str">
        <x:v>Elena Valdés</x:v>
      </x:c>
      <x:c r="C10" s="21" t="str">
        <x:v>652c1b23-a5c6-5722-a26c-705b204994c4</x:v>
      </x:c>
      <x:c r="D10" s="21" t="str">
        <x:v>Decisiones de producto</x:v>
      </x:c>
      <x:c r="E10" s="21" t="n">
        <x:v>5</x:v>
      </x:c>
      <x:c r="F10" s="19" t="str">
        <x:v>NO_EVALUADA</x:v>
      </x:c>
      <x:c r="G10" s="19" t="str">
        <x:v>Pendiente de evaluación práctica independiente.</x:v>
      </x:c>
      <x:c r="H10" s="19" t="str">
        <x:v>Evaluación y artefacto reproducible pendientes.</x:v>
      </x:c>
    </x:row>
    <x:row r="11" ht="42" customHeight="1">
      <x:c r="A11" s="2" t="n">
        <x:v>1</x:v>
      </x:c>
      <x:c r="B11" s="2" t="str">
        <x:v>Elena Valdés</x:v>
      </x:c>
      <x:c r="C11" s="22" t="str">
        <x:v>6531302e-9901-547a-bc84-fd5205e287bc</x:v>
      </x:c>
      <x:c r="D11" s="22" t="str">
        <x:v>Gestión de mandatos</x:v>
      </x:c>
      <x:c r="E11" s="22" t="n">
        <x:v>5</x:v>
      </x:c>
      <x:c r="F11" s="19" t="str">
        <x:v>NO_EVALUADA</x:v>
      </x:c>
      <x:c r="G11" s="19" t="str">
        <x:v>Pendiente de evaluación práctica independiente.</x:v>
      </x:c>
      <x:c r="H11" s="19" t="str">
        <x:v>Evaluación y artefacto reproducible pendientes.</x:v>
      </x:c>
    </x:row>
    <x:row r="12" ht="42" customHeight="1">
      <x:c r="A12" s="16" t="n">
        <x:v>1</x:v>
      </x:c>
      <x:c r="B12" s="16" t="str">
        <x:v>Elena Valdés</x:v>
      </x:c>
      <x:c r="C12" s="21" t="str">
        <x:v>edd544b1-1e79-5fcf-8288-c1ff88e004ef</x:v>
      </x:c>
      <x:c r="D12" s="21" t="str">
        <x:v>Trazabilidad de evidencia</x:v>
      </x:c>
      <x:c r="E12" s="21" t="n">
        <x:v>5</x:v>
      </x:c>
      <x:c r="F12" s="19" t="str">
        <x:v>NO_EVALUADA</x:v>
      </x:c>
      <x:c r="G12" s="19" t="str">
        <x:v>Pendiente de evaluación práctica independiente.</x:v>
      </x:c>
      <x:c r="H12" s="19" t="str">
        <x:v>Evaluación y artefacto reproducible pendientes.</x:v>
      </x:c>
    </x:row>
    <x:row r="13" ht="42" customHeight="1">
      <x:c r="A13" s="2" t="n">
        <x:v>1</x:v>
      </x:c>
      <x:c r="B13" s="2" t="str">
        <x:v>Elena Valdés</x:v>
      </x:c>
      <x:c r="C13" s="22" t="str">
        <x:v>c9125256-8d9d-5e0e-aaa3-2578149f9395</x:v>
      </x:c>
      <x:c r="D13" s="22" t="str">
        <x:v>Gestión de errores</x:v>
      </x:c>
      <x:c r="E13" s="22" t="n">
        <x:v>5</x:v>
      </x:c>
      <x:c r="F13" s="19" t="str">
        <x:v>NO_EVALUADA</x:v>
      </x:c>
      <x:c r="G13" s="19" t="str">
        <x:v>Pendiente de evaluación práctica independiente.</x:v>
      </x:c>
      <x:c r="H13" s="19" t="str">
        <x:v>Evaluación y artefacto reproducible pendientes.</x:v>
      </x:c>
    </x:row>
    <x:row r="14" ht="42" customHeight="1">
      <x:c r="A14" s="16" t="n">
        <x:v>1</x:v>
      </x:c>
      <x:c r="B14" s="16" t="str">
        <x:v>Elena Valdés</x:v>
      </x:c>
      <x:c r="C14" s="21" t="str">
        <x:v>0f5f2798-bd44-5d4f-9b0c-dbc197d4ae47</x:v>
      </x:c>
      <x:c r="D14" s="21" t="str">
        <x:v>Supervisión técnica</x:v>
      </x:c>
      <x:c r="E14" s="21" t="n">
        <x:v>5</x:v>
      </x:c>
      <x:c r="F14" s="19" t="str">
        <x:v>NO_EVALUADA</x:v>
      </x:c>
      <x:c r="G14" s="19" t="str">
        <x:v>Debe demostrar delegación, feedback y revisión sin conflicto.</x:v>
      </x:c>
      <x:c r="H14" s="19" t="str">
        <x:v>Evaluación y artefacto reproducible pendientes.</x:v>
      </x:c>
    </x:row>
    <x:row r="15" ht="42" customHeight="1">
      <x:c r="A15" s="2" t="n">
        <x:v>2</x:v>
      </x:c>
      <x:c r="B15" s="2" t="str">
        <x:v>Gabriel Montes</x:v>
      </x:c>
      <x:c r="C15" s="22" t="str">
        <x:v>4bd984c4-4e83-5b3e-bb1f-48ff2a98e3dc</x:v>
      </x:c>
      <x:c r="D15" s="22" t="str">
        <x:v>Arquitectura de software</x:v>
      </x:c>
      <x:c r="E15" s="22" t="n">
        <x:v>5</x:v>
      </x:c>
      <x:c r="F15" s="19" t="str">
        <x:v>NO_EVALUADA</x:v>
      </x:c>
      <x:c r="G15" s="19" t="str">
        <x:v>Pendiente de evaluación práctica independiente.</x:v>
      </x:c>
      <x:c r="H15" s="19" t="str">
        <x:v>Evaluación y artefacto reproducible pendientes.</x:v>
      </x:c>
    </x:row>
    <x:row r="16" ht="42" customHeight="1">
      <x:c r="A16" s="16" t="n">
        <x:v>2</x:v>
      </x:c>
      <x:c r="B16" s="16" t="str">
        <x:v>Gabriel Montes</x:v>
      </x:c>
      <x:c r="C16" s="21" t="str">
        <x:v>964e2f61-9731-5573-b4df-6febb93631bd</x:v>
      </x:c>
      <x:c r="D16" s="21" t="str">
        <x:v>Modelado de estados</x:v>
      </x:c>
      <x:c r="E16" s="21" t="n">
        <x:v>5</x:v>
      </x:c>
      <x:c r="F16" s="19" t="str">
        <x:v>NO_EVALUADA</x:v>
      </x:c>
      <x:c r="G16" s="19" t="str">
        <x:v>Pendiente de evaluación práctica independiente.</x:v>
      </x:c>
      <x:c r="H16" s="19" t="str">
        <x:v>Evaluación y artefacto reproducible pendientes.</x:v>
      </x:c>
    </x:row>
    <x:row r="17" ht="42" customHeight="1">
      <x:c r="A17" s="2" t="n">
        <x:v>2</x:v>
      </x:c>
      <x:c r="B17" s="2" t="str">
        <x:v>Gabriel Montes</x:v>
      </x:c>
      <x:c r="C17" s="22" t="str">
        <x:v>1612b603-5b00-5126-9e0b-e53950baf49e</x:v>
      </x:c>
      <x:c r="D17" s="22" t="str">
        <x:v>Contratos API</x:v>
      </x:c>
      <x:c r="E17" s="22" t="n">
        <x:v>5</x:v>
      </x:c>
      <x:c r="F17" s="19" t="str">
        <x:v>NO_EVALUADA</x:v>
      </x:c>
      <x:c r="G17" s="19" t="str">
        <x:v>Pendiente de evaluación práctica independiente.</x:v>
      </x:c>
      <x:c r="H17" s="19" t="str">
        <x:v>Evaluación y artefacto reproducible pendientes.</x:v>
      </x:c>
    </x:row>
    <x:row r="18" ht="42" customHeight="1">
      <x:c r="A18" s="16" t="n">
        <x:v>2</x:v>
      </x:c>
      <x:c r="B18" s="16" t="str">
        <x:v>Gabriel Montes</x:v>
      </x:c>
      <x:c r="C18" s="21" t="str">
        <x:v>56b3f35a-3f73-5c67-901b-1c957e2a20e7</x:v>
      </x:c>
      <x:c r="D18" s="21" t="str">
        <x:v>Consistencia distribuida</x:v>
      </x:c>
      <x:c r="E18" s="21" t="n">
        <x:v>5</x:v>
      </x:c>
      <x:c r="F18" s="19" t="str">
        <x:v>NO_EVALUADA</x:v>
      </x:c>
      <x:c r="G18" s="19" t="str">
        <x:v>Pendiente de evaluación práctica independiente.</x:v>
      </x:c>
      <x:c r="H18" s="19" t="str">
        <x:v>Evaluación y artefacto reproducible pendientes.</x:v>
      </x:c>
    </x:row>
    <x:row r="19" ht="42" customHeight="1">
      <x:c r="A19" s="2" t="n">
        <x:v>2</x:v>
      </x:c>
      <x:c r="B19" s="2" t="str">
        <x:v>Gabriel Montes</x:v>
      </x:c>
      <x:c r="C19" s="22" t="str">
        <x:v>1c090a2d-5a7a-5141-baf8-f83203f7081e</x:v>
      </x:c>
      <x:c r="D19" s="22" t="str">
        <x:v>Análisis de decisiones</x:v>
      </x:c>
      <x:c r="E19" s="22" t="n">
        <x:v>5</x:v>
      </x:c>
      <x:c r="F19" s="19" t="str">
        <x:v>NO_EVALUADA</x:v>
      </x:c>
      <x:c r="G19" s="19" t="str">
        <x:v>Pendiente de evaluación práctica independiente.</x:v>
      </x:c>
      <x:c r="H19" s="19" t="str">
        <x:v>Evaluación y artefacto reproducible pendientes.</x:v>
      </x:c>
    </x:row>
    <x:row r="20" ht="42" customHeight="1">
      <x:c r="A20" s="16" t="n">
        <x:v>2</x:v>
      </x:c>
      <x:c r="B20" s="16" t="str">
        <x:v>Gabriel Montes</x:v>
      </x:c>
      <x:c r="C20" s="21" t="str">
        <x:v>6531302e-9901-547a-bc84-fd5205e287bc</x:v>
      </x:c>
      <x:c r="D20" s="21" t="str">
        <x:v>Gestión de mandatos</x:v>
      </x:c>
      <x:c r="E20" s="21" t="n">
        <x:v>5</x:v>
      </x:c>
      <x:c r="F20" s="19" t="str">
        <x:v>NO_EVALUADA</x:v>
      </x:c>
      <x:c r="G20" s="19" t="str">
        <x:v>Pendiente de evaluación práctica independiente.</x:v>
      </x:c>
      <x:c r="H20" s="19" t="str">
        <x:v>Evaluación y artefacto reproducible pendientes.</x:v>
      </x:c>
    </x:row>
    <x:row r="21" ht="42" customHeight="1">
      <x:c r="A21" s="2" t="n">
        <x:v>2</x:v>
      </x:c>
      <x:c r="B21" s="2" t="str">
        <x:v>Gabriel Montes</x:v>
      </x:c>
      <x:c r="C21" s="22" t="str">
        <x:v>edd544b1-1e79-5fcf-8288-c1ff88e004ef</x:v>
      </x:c>
      <x:c r="D21" s="22" t="str">
        <x:v>Trazabilidad de evidencia</x:v>
      </x:c>
      <x:c r="E21" s="22" t="n">
        <x:v>5</x:v>
      </x:c>
      <x:c r="F21" s="19" t="str">
        <x:v>NO_EVALUADA</x:v>
      </x:c>
      <x:c r="G21" s="19" t="str">
        <x:v>Pendiente de evaluación práctica independiente.</x:v>
      </x:c>
      <x:c r="H21" s="19" t="str">
        <x:v>Evaluación y artefacto reproducible pendientes.</x:v>
      </x:c>
    </x:row>
    <x:row r="22" ht="42" customHeight="1">
      <x:c r="A22" s="16" t="n">
        <x:v>2</x:v>
      </x:c>
      <x:c r="B22" s="16" t="str">
        <x:v>Gabriel Montes</x:v>
      </x:c>
      <x:c r="C22" s="21" t="str">
        <x:v>c9125256-8d9d-5e0e-aaa3-2578149f9395</x:v>
      </x:c>
      <x:c r="D22" s="21" t="str">
        <x:v>Gestión de errores</x:v>
      </x:c>
      <x:c r="E22" s="21" t="n">
        <x:v>5</x:v>
      </x:c>
      <x:c r="F22" s="19" t="str">
        <x:v>NO_EVALUADA</x:v>
      </x:c>
      <x:c r="G22" s="19" t="str">
        <x:v>Pendiente de evaluación práctica independiente.</x:v>
      </x:c>
      <x:c r="H22" s="19" t="str">
        <x:v>Evaluación y artefacto reproducible pendientes.</x:v>
      </x:c>
    </x:row>
    <x:row r="23" ht="42" customHeight="1">
      <x:c r="A23" s="2" t="n">
        <x:v>2</x:v>
      </x:c>
      <x:c r="B23" s="2" t="str">
        <x:v>Gabriel Montes</x:v>
      </x:c>
      <x:c r="C23" s="22" t="str">
        <x:v>0f5f2798-bd44-5d4f-9b0c-dbc197d4ae47</x:v>
      </x:c>
      <x:c r="D23" s="22" t="str">
        <x:v>Supervisión técnica</x:v>
      </x:c>
      <x:c r="E23" s="22" t="n">
        <x:v>5</x:v>
      </x:c>
      <x:c r="F23" s="19" t="str">
        <x:v>NO_EVALUADA</x:v>
      </x:c>
      <x:c r="G23" s="19" t="str">
        <x:v>Debe demostrar delegación, feedback y revisión sin conflicto.</x:v>
      </x:c>
      <x:c r="H23" s="19" t="str">
        <x:v>Evaluación y artefacto reproducible pendientes.</x:v>
      </x:c>
    </x:row>
    <x:row r="24" ht="42" customHeight="1">
      <x:c r="A24" s="16" t="n">
        <x:v>3</x:v>
      </x:c>
      <x:c r="B24" s="16" t="str">
        <x:v>Santiago Vidal</x:v>
      </x:c>
      <x:c r="C24" s="21" t="str">
        <x:v>a0f02646-0add-5233-b8ce-da381f6af474</x:v>
      </x:c>
      <x:c r="D24" s="21" t="str">
        <x:v>Diseño de pruebas</x:v>
      </x:c>
      <x:c r="E24" s="21" t="n">
        <x:v>5</x:v>
      </x:c>
      <x:c r="F24" s="19" t="str">
        <x:v>NO_EVALUADA</x:v>
      </x:c>
      <x:c r="G24" s="19" t="str">
        <x:v>Pendiente de evaluación práctica independiente.</x:v>
      </x:c>
      <x:c r="H24" s="19" t="str">
        <x:v>Evaluación y artefacto reproducible pendientes.</x:v>
      </x:c>
    </x:row>
    <x:row r="25" ht="42" customHeight="1">
      <x:c r="A25" s="2" t="n">
        <x:v>3</x:v>
      </x:c>
      <x:c r="B25" s="2" t="str">
        <x:v>Santiago Vidal</x:v>
      </x:c>
      <x:c r="C25" s="22" t="str">
        <x:v>5a55fc5e-b0fd-52fc-b392-ff4af0dac554</x:v>
      </x:c>
      <x:c r="D25" s="22" t="str">
        <x:v>Pruebas de integración</x:v>
      </x:c>
      <x:c r="E25" s="22" t="n">
        <x:v>5</x:v>
      </x:c>
      <x:c r="F25" s="19" t="str">
        <x:v>NO_EVALUADA</x:v>
      </x:c>
      <x:c r="G25" s="19" t="str">
        <x:v>Pendiente de evaluación práctica independiente.</x:v>
      </x:c>
      <x:c r="H25" s="19" t="str">
        <x:v>Evaluación y artefacto reproducible pendientes.</x:v>
      </x:c>
    </x:row>
    <x:row r="26" ht="42" customHeight="1">
      <x:c r="A26" s="16" t="n">
        <x:v>3</x:v>
      </x:c>
      <x:c r="B26" s="16" t="str">
        <x:v>Santiago Vidal</x:v>
      </x:c>
      <x:c r="C26" s="21" t="str">
        <x:v>f3c8196a-f80b-5461-80fc-27ad2e6a7e99</x:v>
      </x:c>
      <x:c r="D26" s="21" t="str">
        <x:v>Pruebas de propiedades</x:v>
      </x:c>
      <x:c r="E26" s="21" t="n">
        <x:v>5</x:v>
      </x:c>
      <x:c r="F26" s="19" t="str">
        <x:v>NO_EVALUADA</x:v>
      </x:c>
      <x:c r="G26" s="19" t="str">
        <x:v>Pendiente de evaluación práctica independiente.</x:v>
      </x:c>
      <x:c r="H26" s="19" t="str">
        <x:v>Evaluación y artefacto reproducible pendientes.</x:v>
      </x:c>
    </x:row>
    <x:row r="27" ht="42" customHeight="1">
      <x:c r="A27" s="2" t="n">
        <x:v>3</x:v>
      </x:c>
      <x:c r="B27" s="2" t="str">
        <x:v>Santiago Vidal</x:v>
      </x:c>
      <x:c r="C27" s="22" t="str">
        <x:v>c927951e-97d4-53be-882e-331c450ba18c</x:v>
      </x:c>
      <x:c r="D27" s="22" t="str">
        <x:v>Regresión</x:v>
      </x:c>
      <x:c r="E27" s="22" t="n">
        <x:v>5</x:v>
      </x:c>
      <x:c r="F27" s="19" t="str">
        <x:v>NO_EVALUADA</x:v>
      </x:c>
      <x:c r="G27" s="19" t="str">
        <x:v>Pendiente de evaluación práctica independiente.</x:v>
      </x:c>
      <x:c r="H27" s="19" t="str">
        <x:v>Evaluación y artefacto reproducible pendientes.</x:v>
      </x:c>
    </x:row>
    <x:row r="28" ht="42" customHeight="1">
      <x:c r="A28" s="16" t="n">
        <x:v>3</x:v>
      </x:c>
      <x:c r="B28" s="16" t="str">
        <x:v>Santiago Vidal</x:v>
      </x:c>
      <x:c r="C28" s="21" t="str">
        <x:v>d4288a57-2b8e-542b-bb5e-a330699503bb</x:v>
      </x:c>
      <x:c r="D28" s="21" t="str">
        <x:v>Criterios de aceptación</x:v>
      </x:c>
      <x:c r="E28" s="21" t="n">
        <x:v>5</x:v>
      </x:c>
      <x:c r="F28" s="19" t="str">
        <x:v>NO_EVALUADA</x:v>
      </x:c>
      <x:c r="G28" s="19" t="str">
        <x:v>Pendiente de evaluación práctica independiente.</x:v>
      </x:c>
      <x:c r="H28" s="19" t="str">
        <x:v>Evaluación y artefacto reproducible pendientes.</x:v>
      </x:c>
    </x:row>
    <x:row r="29" ht="42" customHeight="1">
      <x:c r="A29" s="2" t="n">
        <x:v>3</x:v>
      </x:c>
      <x:c r="B29" s="2" t="str">
        <x:v>Santiago Vidal</x:v>
      </x:c>
      <x:c r="C29" s="22" t="str">
        <x:v>6531302e-9901-547a-bc84-fd5205e287bc</x:v>
      </x:c>
      <x:c r="D29" s="22" t="str">
        <x:v>Gestión de mandatos</x:v>
      </x:c>
      <x:c r="E29" s="22" t="n">
        <x:v>5</x:v>
      </x:c>
      <x:c r="F29" s="19" t="str">
        <x:v>NO_EVALUADA</x:v>
      </x:c>
      <x:c r="G29" s="19" t="str">
        <x:v>Pendiente de evaluación práctica independiente.</x:v>
      </x:c>
      <x:c r="H29" s="19" t="str">
        <x:v>Evaluación y artefacto reproducible pendientes.</x:v>
      </x:c>
    </x:row>
    <x:row r="30" ht="42" customHeight="1">
      <x:c r="A30" s="16" t="n">
        <x:v>3</x:v>
      </x:c>
      <x:c r="B30" s="16" t="str">
        <x:v>Santiago Vidal</x:v>
      </x:c>
      <x:c r="C30" s="21" t="str">
        <x:v>edd544b1-1e79-5fcf-8288-c1ff88e004ef</x:v>
      </x:c>
      <x:c r="D30" s="21" t="str">
        <x:v>Trazabilidad de evidencia</x:v>
      </x:c>
      <x:c r="E30" s="21" t="n">
        <x:v>5</x:v>
      </x:c>
      <x:c r="F30" s="19" t="str">
        <x:v>NO_EVALUADA</x:v>
      </x:c>
      <x:c r="G30" s="19" t="str">
        <x:v>Pendiente de evaluación práctica independiente.</x:v>
      </x:c>
      <x:c r="H30" s="19" t="str">
        <x:v>Evaluación y artefacto reproducible pendientes.</x:v>
      </x:c>
    </x:row>
    <x:row r="31" ht="42" customHeight="1">
      <x:c r="A31" s="2" t="n">
        <x:v>3</x:v>
      </x:c>
      <x:c r="B31" s="2" t="str">
        <x:v>Santiago Vidal</x:v>
      </x:c>
      <x:c r="C31" s="22" t="str">
        <x:v>c9125256-8d9d-5e0e-aaa3-2578149f9395</x:v>
      </x:c>
      <x:c r="D31" s="22" t="str">
        <x:v>Gestión de errores</x:v>
      </x:c>
      <x:c r="E31" s="22" t="n">
        <x:v>5</x:v>
      </x:c>
      <x:c r="F31" s="19" t="str">
        <x:v>NO_EVALUADA</x:v>
      </x:c>
      <x:c r="G31" s="19" t="str">
        <x:v>Pendiente de evaluación práctica independiente.</x:v>
      </x:c>
      <x:c r="H31" s="19" t="str">
        <x:v>Evaluación y artefacto reproducible pendientes.</x:v>
      </x:c>
    </x:row>
    <x:row r="32" ht="42" customHeight="1">
      <x:c r="A32" s="16" t="n">
        <x:v>3</x:v>
      </x:c>
      <x:c r="B32" s="16" t="str">
        <x:v>Santiago Vidal</x:v>
      </x:c>
      <x:c r="C32" s="21" t="str">
        <x:v>0f5f2798-bd44-5d4f-9b0c-dbc197d4ae47</x:v>
      </x:c>
      <x:c r="D32" s="21" t="str">
        <x:v>Supervisión técnica</x:v>
      </x:c>
      <x:c r="E32" s="21" t="n">
        <x:v>5</x:v>
      </x:c>
      <x:c r="F32" s="19" t="str">
        <x:v>NO_EVALUADA</x:v>
      </x:c>
      <x:c r="G32" s="19" t="str">
        <x:v>Debe demostrar delegación, feedback y revisión sin conflicto.</x:v>
      </x:c>
      <x:c r="H32" s="19" t="str">
        <x:v>Evaluación y artefacto reproducible pendientes.</x:v>
      </x:c>
    </x:row>
    <x:row r="33" ht="42" customHeight="1">
      <x:c r="A33" s="2" t="n">
        <x:v>4</x:v>
      </x:c>
      <x:c r="B33" s="2" t="str">
        <x:v>Alba Prieto</x:v>
      </x:c>
      <x:c r="C33" s="22" t="str">
        <x:v>6531302e-9901-547a-bc84-fd5205e287bc</x:v>
      </x:c>
      <x:c r="D33" s="22" t="str">
        <x:v>Gestión de mandatos</x:v>
      </x:c>
      <x:c r="E33" s="22" t="n">
        <x:v>5</x:v>
      </x:c>
      <x:c r="F33" s="19" t="str">
        <x:v>NO_EVALUADA</x:v>
      </x:c>
      <x:c r="G33" s="19" t="str">
        <x:v>Pendiente de evaluación práctica independiente.</x:v>
      </x:c>
      <x:c r="H33" s="19" t="str">
        <x:v>Evaluación y artefacto reproducible pendientes.</x:v>
      </x:c>
    </x:row>
    <x:row r="34" ht="42" customHeight="1">
      <x:c r="A34" s="16" t="n">
        <x:v>4</x:v>
      </x:c>
      <x:c r="B34" s="16" t="str">
        <x:v>Alba Prieto</x:v>
      </x:c>
      <x:c r="C34" s="21" t="str">
        <x:v>ded9ec67-0d43-53c6-ac44-434e2f3a63e5</x:v>
      </x:c>
      <x:c r="D34" s="21" t="str">
        <x:v>Priorización</x:v>
      </x:c>
      <x:c r="E34" s="21" t="n">
        <x:v>5</x:v>
      </x:c>
      <x:c r="F34" s="19" t="str">
        <x:v>NO_EVALUADA</x:v>
      </x:c>
      <x:c r="G34" s="19" t="str">
        <x:v>Pendiente de evaluación práctica independiente.</x:v>
      </x:c>
      <x:c r="H34" s="19" t="str">
        <x:v>Evaluación y artefacto reproducible pendientes.</x:v>
      </x:c>
    </x:row>
    <x:row r="35" ht="42" customHeight="1">
      <x:c r="A35" s="2" t="n">
        <x:v>4</x:v>
      </x:c>
      <x:c r="B35" s="2" t="str">
        <x:v>Alba Prieto</x:v>
      </x:c>
      <x:c r="C35" s="22" t="str">
        <x:v>8f8ffd74-b5aa-5608-9226-12a3a21ab77d</x:v>
      </x:c>
      <x:c r="D35" s="22" t="str">
        <x:v>Comunicación de riesgos</x:v>
      </x:c>
      <x:c r="E35" s="22" t="n">
        <x:v>5</x:v>
      </x:c>
      <x:c r="F35" s="19" t="str">
        <x:v>NO_EVALUADA</x:v>
      </x:c>
      <x:c r="G35" s="19" t="str">
        <x:v>Pendiente de evaluación práctica independiente.</x:v>
      </x:c>
      <x:c r="H35" s="19" t="str">
        <x:v>Evaluación y artefacto reproducible pendientes.</x:v>
      </x:c>
    </x:row>
    <x:row r="36" ht="42" customHeight="1">
      <x:c r="A36" s="16" t="n">
        <x:v>4</x:v>
      </x:c>
      <x:c r="B36" s="16" t="str">
        <x:v>Alba Prieto</x:v>
      </x:c>
      <x:c r="C36" s="21" t="str">
        <x:v>d61726fd-a17d-503f-b0da-371eeea648bf</x:v>
      </x:c>
      <x:c r="D36" s="21" t="str">
        <x:v>Gestión de autorizaciones</x:v>
      </x:c>
      <x:c r="E36" s="21" t="n">
        <x:v>5</x:v>
      </x:c>
      <x:c r="F36" s="19" t="str">
        <x:v>NO_EVALUADA</x:v>
      </x:c>
      <x:c r="G36" s="19" t="str">
        <x:v>Pendiente de evaluación práctica independiente.</x:v>
      </x:c>
      <x:c r="H36" s="19" t="str">
        <x:v>Evaluación y artefacto reproducible pendientes.</x:v>
      </x:c>
    </x:row>
    <x:row r="37" ht="42" customHeight="1">
      <x:c r="A37" s="2" t="n">
        <x:v>4</x:v>
      </x:c>
      <x:c r="B37" s="2" t="str">
        <x:v>Alba Prieto</x:v>
      </x:c>
      <x:c r="C37" s="22" t="str">
        <x:v>7b735bcd-83a0-512d-b071-f17ff9555c94</x:v>
      </x:c>
      <x:c r="D37" s="22" t="str">
        <x:v>Diseño de procesos</x:v>
      </x:c>
      <x:c r="E37" s="22" t="n">
        <x:v>5</x:v>
      </x:c>
      <x:c r="F37" s="19" t="str">
        <x:v>NO_EVALUADA</x:v>
      </x:c>
      <x:c r="G37" s="19" t="str">
        <x:v>Pendiente de evaluación práctica independiente.</x:v>
      </x:c>
      <x:c r="H37" s="19" t="str">
        <x:v>Evaluación y artefacto reproducible pendientes.</x:v>
      </x:c>
    </x:row>
    <x:row r="38" ht="42" customHeight="1">
      <x:c r="A38" s="16" t="n">
        <x:v>4</x:v>
      </x:c>
      <x:c r="B38" s="16" t="str">
        <x:v>Alba Prieto</x:v>
      </x:c>
      <x:c r="C38" s="21" t="str">
        <x:v>edd544b1-1e79-5fcf-8288-c1ff88e004ef</x:v>
      </x:c>
      <x:c r="D38" s="21" t="str">
        <x:v>Trazabilidad de evidencia</x:v>
      </x:c>
      <x:c r="E38" s="21" t="n">
        <x:v>5</x:v>
      </x:c>
      <x:c r="F38" s="19" t="str">
        <x:v>NO_EVALUADA</x:v>
      </x:c>
      <x:c r="G38" s="19" t="str">
        <x:v>Pendiente de evaluación práctica independiente.</x:v>
      </x:c>
      <x:c r="H38" s="19" t="str">
        <x:v>Evaluación y artefacto reproducible pendientes.</x:v>
      </x:c>
    </x:row>
    <x:row r="39" ht="42" customHeight="1">
      <x:c r="A39" s="2" t="n">
        <x:v>4</x:v>
      </x:c>
      <x:c r="B39" s="2" t="str">
        <x:v>Alba Prieto</x:v>
      </x:c>
      <x:c r="C39" s="22" t="str">
        <x:v>c9125256-8d9d-5e0e-aaa3-2578149f9395</x:v>
      </x:c>
      <x:c r="D39" s="22" t="str">
        <x:v>Gestión de errores</x:v>
      </x:c>
      <x:c r="E39" s="22" t="n">
        <x:v>5</x:v>
      </x:c>
      <x:c r="F39" s="19" t="str">
        <x:v>NO_EVALUADA</x:v>
      </x:c>
      <x:c r="G39" s="19" t="str">
        <x:v>Pendiente de evaluación práctica independiente.</x:v>
      </x:c>
      <x:c r="H39" s="19" t="str">
        <x:v>Evaluación y artefacto reproducible pendientes.</x:v>
      </x:c>
    </x:row>
    <x:row r="40" ht="42" customHeight="1">
      <x:c r="A40" s="16" t="n">
        <x:v>4</x:v>
      </x:c>
      <x:c r="B40" s="16" t="str">
        <x:v>Alba Prieto</x:v>
      </x:c>
      <x:c r="C40" s="21" t="str">
        <x:v>0f5f2798-bd44-5d4f-9b0c-dbc197d4ae47</x:v>
      </x:c>
      <x:c r="D40" s="21" t="str">
        <x:v>Supervisión técnica</x:v>
      </x:c>
      <x:c r="E40" s="21" t="n">
        <x:v>5</x:v>
      </x:c>
      <x:c r="F40" s="19" t="str">
        <x:v>NO_EVALUADA</x:v>
      </x:c>
      <x:c r="G40" s="19" t="str">
        <x:v>Debe demostrar delegación, feedback y revisión sin conflicto.</x:v>
      </x:c>
      <x:c r="H40" s="19" t="str">
        <x:v>Evaluación y artefacto reproducible pendientes.</x:v>
      </x:c>
    </x:row>
    <x:row r="41" ht="42" customHeight="1">
      <x:c r="A41" s="2" t="n">
        <x:v>5</x:v>
      </x:c>
      <x:c r="B41" s="2" t="str">
        <x:v>Mateo Salvatierra</x:v>
      </x:c>
      <x:c r="C41" s="22" t="str">
        <x:v>4bd984c4-4e83-5b3e-bb1f-48ff2a98e3dc</x:v>
      </x:c>
      <x:c r="D41" s="22" t="str">
        <x:v>Arquitectura de software</x:v>
      </x:c>
      <x:c r="E41" s="22" t="n">
        <x:v>5</x:v>
      </x:c>
      <x:c r="F41" s="19" t="str">
        <x:v>NO_EVALUADA</x:v>
      </x:c>
      <x:c r="G41" s="19" t="str">
        <x:v>Pendiente de evaluación práctica independiente.</x:v>
      </x:c>
      <x:c r="H41" s="19" t="str">
        <x:v>Evaluación y artefacto reproducible pendientes.</x:v>
      </x:c>
    </x:row>
    <x:row r="42" ht="42" customHeight="1">
      <x:c r="A42" s="16" t="n">
        <x:v>5</x:v>
      </x:c>
      <x:c r="B42" s="16" t="str">
        <x:v>Mateo Salvatierra</x:v>
      </x:c>
      <x:c r="C42" s="21" t="str">
        <x:v>bd0de05d-88bd-5a88-8e05-efb351276f6c</x:v>
      </x:c>
      <x:c r="D42" s="21" t="str">
        <x:v>Entrega vertical</x:v>
      </x:c>
      <x:c r="E42" s="21" t="n">
        <x:v>5</x:v>
      </x:c>
      <x:c r="F42" s="19" t="str">
        <x:v>NO_EVALUADA</x:v>
      </x:c>
      <x:c r="G42" s="19" t="str">
        <x:v>Pendiente de evaluación práctica independiente.</x:v>
      </x:c>
      <x:c r="H42" s="19" t="str">
        <x:v>Evaluación y artefacto reproducible pendientes.</x:v>
      </x:c>
    </x:row>
    <x:row r="43" ht="42" customHeight="1">
      <x:c r="A43" s="2" t="n">
        <x:v>5</x:v>
      </x:c>
      <x:c r="B43" s="2" t="str">
        <x:v>Mateo Salvatierra</x:v>
      </x:c>
      <x:c r="C43" s="22" t="str">
        <x:v>60dd320f-f36f-5207-9572-513e95d43767</x:v>
      </x:c>
      <x:c r="D43" s="22" t="str">
        <x:v>Revisión técnica</x:v>
      </x:c>
      <x:c r="E43" s="22" t="n">
        <x:v>5</x:v>
      </x:c>
      <x:c r="F43" s="19" t="str">
        <x:v>NO_EVALUADA</x:v>
      </x:c>
      <x:c r="G43" s="19" t="str">
        <x:v>Pendiente de evaluación práctica independiente.</x:v>
      </x:c>
      <x:c r="H43" s="19" t="str">
        <x:v>Evaluación y artefacto reproducible pendientes.</x:v>
      </x:c>
    </x:row>
    <x:row r="44" ht="42" customHeight="1">
      <x:c r="A44" s="16" t="n">
        <x:v>5</x:v>
      </x:c>
      <x:c r="B44" s="16" t="str">
        <x:v>Mateo Salvatierra</x:v>
      </x:c>
      <x:c r="C44" s="21" t="str">
        <x:v>1612b603-5b00-5126-9e0b-e53950baf49e</x:v>
      </x:c>
      <x:c r="D44" s="21" t="str">
        <x:v>Contratos API</x:v>
      </x:c>
      <x:c r="E44" s="21" t="n">
        <x:v>5</x:v>
      </x:c>
      <x:c r="F44" s="19" t="str">
        <x:v>NO_EVALUADA</x:v>
      </x:c>
      <x:c r="G44" s="19" t="str">
        <x:v>Pendiente de evaluación práctica independiente.</x:v>
      </x:c>
      <x:c r="H44" s="19" t="str">
        <x:v>Evaluación y artefacto reproducible pendientes.</x:v>
      </x:c>
    </x:row>
    <x:row r="45" ht="42" customHeight="1">
      <x:c r="A45" s="2" t="n">
        <x:v>5</x:v>
      </x:c>
      <x:c r="B45" s="2" t="str">
        <x:v>Mateo Salvatierra</x:v>
      </x:c>
      <x:c r="C45" s="22" t="str">
        <x:v>a0f02646-0add-5233-b8ce-da381f6af474</x:v>
      </x:c>
      <x:c r="D45" s="22" t="str">
        <x:v>Diseño de pruebas</x:v>
      </x:c>
      <x:c r="E45" s="22" t="n">
        <x:v>5</x:v>
      </x:c>
      <x:c r="F45" s="19" t="str">
        <x:v>NO_EVALUADA</x:v>
      </x:c>
      <x:c r="G45" s="19" t="str">
        <x:v>Pendiente de evaluación práctica independiente.</x:v>
      </x:c>
      <x:c r="H45" s="19" t="str">
        <x:v>Evaluación y artefacto reproducible pendientes.</x:v>
      </x:c>
    </x:row>
    <x:row r="46" ht="42" customHeight="1">
      <x:c r="A46" s="16" t="n">
        <x:v>5</x:v>
      </x:c>
      <x:c r="B46" s="16" t="str">
        <x:v>Mateo Salvatierra</x:v>
      </x:c>
      <x:c r="C46" s="21" t="str">
        <x:v>6531302e-9901-547a-bc84-fd5205e287bc</x:v>
      </x:c>
      <x:c r="D46" s="21" t="str">
        <x:v>Gestión de mandatos</x:v>
      </x:c>
      <x:c r="E46" s="21" t="n">
        <x:v>5</x:v>
      </x:c>
      <x:c r="F46" s="19" t="str">
        <x:v>NO_EVALUADA</x:v>
      </x:c>
      <x:c r="G46" s="19" t="str">
        <x:v>Pendiente de evaluación práctica independiente.</x:v>
      </x:c>
      <x:c r="H46" s="19" t="str">
        <x:v>Evaluación y artefacto reproducible pendientes.</x:v>
      </x:c>
    </x:row>
    <x:row r="47" ht="42" customHeight="1">
      <x:c r="A47" s="2" t="n">
        <x:v>5</x:v>
      </x:c>
      <x:c r="B47" s="2" t="str">
        <x:v>Mateo Salvatierra</x:v>
      </x:c>
      <x:c r="C47" s="22" t="str">
        <x:v>edd544b1-1e79-5fcf-8288-c1ff88e004ef</x:v>
      </x:c>
      <x:c r="D47" s="22" t="str">
        <x:v>Trazabilidad de evidencia</x:v>
      </x:c>
      <x:c r="E47" s="22" t="n">
        <x:v>5</x:v>
      </x:c>
      <x:c r="F47" s="19" t="str">
        <x:v>NO_EVALUADA</x:v>
      </x:c>
      <x:c r="G47" s="19" t="str">
        <x:v>Pendiente de evaluación práctica independiente.</x:v>
      </x:c>
      <x:c r="H47" s="19" t="str">
        <x:v>Evaluación y artefacto reproducible pendientes.</x:v>
      </x:c>
    </x:row>
    <x:row r="48" ht="42" customHeight="1">
      <x:c r="A48" s="16" t="n">
        <x:v>5</x:v>
      </x:c>
      <x:c r="B48" s="16" t="str">
        <x:v>Mateo Salvatierra</x:v>
      </x:c>
      <x:c r="C48" s="21" t="str">
        <x:v>c9125256-8d9d-5e0e-aaa3-2578149f9395</x:v>
      </x:c>
      <x:c r="D48" s="21" t="str">
        <x:v>Gestión de errores</x:v>
      </x:c>
      <x:c r="E48" s="21" t="n">
        <x:v>5</x:v>
      </x:c>
      <x:c r="F48" s="19" t="str">
        <x:v>NO_EVALUADA</x:v>
      </x:c>
      <x:c r="G48" s="19" t="str">
        <x:v>Pendiente de evaluación práctica independiente.</x:v>
      </x:c>
      <x:c r="H48" s="19" t="str">
        <x:v>Evaluación y artefacto reproducible pendientes.</x:v>
      </x:c>
    </x:row>
    <x:row r="49" ht="42" customHeight="1">
      <x:c r="A49" s="2" t="n">
        <x:v>5</x:v>
      </x:c>
      <x:c r="B49" s="2" t="str">
        <x:v>Mateo Salvatierra</x:v>
      </x:c>
      <x:c r="C49" s="22" t="str">
        <x:v>0f5f2798-bd44-5d4f-9b0c-dbc197d4ae47</x:v>
      </x:c>
      <x:c r="D49" s="22" t="str">
        <x:v>Supervisión técnica</x:v>
      </x:c>
      <x:c r="E49" s="22" t="n">
        <x:v>5</x:v>
      </x:c>
      <x:c r="F49" s="19" t="str">
        <x:v>NO_EVALUADA</x:v>
      </x:c>
      <x:c r="G49" s="19" t="str">
        <x:v>Debe demostrar delegación, feedback y revisión sin conflicto.</x:v>
      </x:c>
      <x:c r="H49" s="19" t="str">
        <x:v>Evaluación y artefacto reproducible pendientes.</x:v>
      </x:c>
    </x:row>
    <x:row r="50" ht="42" customHeight="1">
      <x:c r="A50" s="16" t="n">
        <x:v>6</x:v>
      </x:c>
      <x:c r="B50" s="16" t="str">
        <x:v>Lucía Ferrer</x:v>
      </x:c>
      <x:c r="C50" s="21" t="str">
        <x:v>a939f262-2b6a-5566-b55f-b43dd143c982</x:v>
      </x:c>
      <x:c r="D50" s="21" t="str">
        <x:v>Servicios backend</x:v>
      </x:c>
      <x:c r="E50" s="21" t="n">
        <x:v>5</x:v>
      </x:c>
      <x:c r="F50" s="19" t="str">
        <x:v>NO_EVALUADA</x:v>
      </x:c>
      <x:c r="G50" s="19" t="str">
        <x:v>Pendiente de evaluación práctica independiente.</x:v>
      </x:c>
      <x:c r="H50" s="19" t="str">
        <x:v>Evaluación y artefacto reproducible pendientes.</x:v>
      </x:c>
    </x:row>
    <x:row r="51" ht="42" customHeight="1">
      <x:c r="A51" s="2" t="n">
        <x:v>6</x:v>
      </x:c>
      <x:c r="B51" s="2" t="str">
        <x:v>Lucía Ferrer</x:v>
      </x:c>
      <x:c r="C51" s="22" t="str">
        <x:v>1cb3b4f8-22d2-5a47-94b6-b8ac9a59ca9d</x:v>
      </x:c>
      <x:c r="D51" s="22" t="str">
        <x:v>Concurrencia</x:v>
      </x:c>
      <x:c r="E51" s="22" t="n">
        <x:v>5</x:v>
      </x:c>
      <x:c r="F51" s="19" t="str">
        <x:v>NO_EVALUADA</x:v>
      </x:c>
      <x:c r="G51" s="19" t="str">
        <x:v>Pendiente de evaluación práctica independiente.</x:v>
      </x:c>
      <x:c r="H51" s="19" t="str">
        <x:v>Evaluación y artefacto reproducible pendientes.</x:v>
      </x:c>
    </x:row>
    <x:row r="52" ht="42" customHeight="1">
      <x:c r="A52" s="16" t="n">
        <x:v>6</x:v>
      </x:c>
      <x:c r="B52" s="16" t="str">
        <x:v>Lucía Ferrer</x:v>
      </x:c>
      <x:c r="C52" s="21" t="str">
        <x:v>24a6633e-a5f8-588c-ae60-2a55c8f9132b</x:v>
      </x:c>
      <x:c r="D52" s="21" t="str">
        <x:v>Idempotencia</x:v>
      </x:c>
      <x:c r="E52" s="21" t="n">
        <x:v>5</x:v>
      </x:c>
      <x:c r="F52" s="19" t="str">
        <x:v>NO_EVALUADA</x:v>
      </x:c>
      <x:c r="G52" s="19" t="str">
        <x:v>Pendiente de evaluación práctica independiente.</x:v>
      </x:c>
      <x:c r="H52" s="19" t="str">
        <x:v>Evaluación y artefacto reproducible pendientes.</x:v>
      </x:c>
    </x:row>
    <x:row r="53" ht="42" customHeight="1">
      <x:c r="A53" s="2" t="n">
        <x:v>6</x:v>
      </x:c>
      <x:c r="B53" s="2" t="str">
        <x:v>Lucía Ferrer</x:v>
      </x:c>
      <x:c r="C53" s="22" t="str">
        <x:v>1612b603-5b00-5126-9e0b-e53950baf49e</x:v>
      </x:c>
      <x:c r="D53" s="22" t="str">
        <x:v>Contratos API</x:v>
      </x:c>
      <x:c r="E53" s="22" t="n">
        <x:v>5</x:v>
      </x:c>
      <x:c r="F53" s="19" t="str">
        <x:v>NO_EVALUADA</x:v>
      </x:c>
      <x:c r="G53" s="19" t="str">
        <x:v>Pendiente de evaluación práctica independiente.</x:v>
      </x:c>
      <x:c r="H53" s="19" t="str">
        <x:v>Evaluación y artefacto reproducible pendientes.</x:v>
      </x:c>
    </x:row>
    <x:row r="54" ht="42" customHeight="1">
      <x:c r="A54" s="16" t="n">
        <x:v>6</x:v>
      </x:c>
      <x:c r="B54" s="16" t="str">
        <x:v>Lucía Ferrer</x:v>
      </x:c>
      <x:c r="C54" s="21" t="str">
        <x:v>c9125256-8d9d-5e0e-aaa3-2578149f9395</x:v>
      </x:c>
      <x:c r="D54" s="21" t="str">
        <x:v>Gestión de errores</x:v>
      </x:c>
      <x:c r="E54" s="21" t="n">
        <x:v>5</x:v>
      </x:c>
      <x:c r="F54" s="19" t="str">
        <x:v>NO_EVALUADA</x:v>
      </x:c>
      <x:c r="G54" s="19" t="str">
        <x:v>Pendiente de evaluación práctica independiente.</x:v>
      </x:c>
      <x:c r="H54" s="19" t="str">
        <x:v>Evaluación y artefacto reproducible pendientes.</x:v>
      </x:c>
    </x:row>
    <x:row r="55" ht="42" customHeight="1">
      <x:c r="A55" s="2" t="n">
        <x:v>6</x:v>
      </x:c>
      <x:c r="B55" s="2" t="str">
        <x:v>Lucía Ferrer</x:v>
      </x:c>
      <x:c r="C55" s="22" t="str">
        <x:v>6531302e-9901-547a-bc84-fd5205e287bc</x:v>
      </x:c>
      <x:c r="D55" s="22" t="str">
        <x:v>Gestión de mandatos</x:v>
      </x:c>
      <x:c r="E55" s="22" t="n">
        <x:v>5</x:v>
      </x:c>
      <x:c r="F55" s="19" t="str">
        <x:v>NO_EVALUADA</x:v>
      </x:c>
      <x:c r="G55" s="19" t="str">
        <x:v>Pendiente de evaluación práctica independiente.</x:v>
      </x:c>
      <x:c r="H55" s="19" t="str">
        <x:v>Evaluación y artefacto reproducible pendientes.</x:v>
      </x:c>
    </x:row>
    <x:row r="56" ht="42" customHeight="1">
      <x:c r="A56" s="16" t="n">
        <x:v>6</x:v>
      </x:c>
      <x:c r="B56" s="16" t="str">
        <x:v>Lucía Ferrer</x:v>
      </x:c>
      <x:c r="C56" s="21" t="str">
        <x:v>edd544b1-1e79-5fcf-8288-c1ff88e004ef</x:v>
      </x:c>
      <x:c r="D56" s="21" t="str">
        <x:v>Trazabilidad de evidencia</x:v>
      </x:c>
      <x:c r="E56" s="21" t="n">
        <x:v>5</x:v>
      </x:c>
      <x:c r="F56" s="19" t="str">
        <x:v>NO_EVALUADA</x:v>
      </x:c>
      <x:c r="G56" s="19" t="str">
        <x:v>Pendiente de evaluación práctica independiente.</x:v>
      </x:c>
      <x:c r="H56" s="19" t="str">
        <x:v>Evaluación y artefacto reproducible pendientes.</x:v>
      </x:c>
    </x:row>
    <x:row r="57" ht="42" customHeight="1">
      <x:c r="A57" s="2" t="n">
        <x:v>6</x:v>
      </x:c>
      <x:c r="B57" s="2" t="str">
        <x:v>Lucía Ferrer</x:v>
      </x:c>
      <x:c r="C57" s="22" t="str">
        <x:v>0f5f2798-bd44-5d4f-9b0c-dbc197d4ae47</x:v>
      </x:c>
      <x:c r="D57" s="22" t="str">
        <x:v>Supervisión técnica</x:v>
      </x:c>
      <x:c r="E57" s="22" t="n">
        <x:v>5</x:v>
      </x:c>
      <x:c r="F57" s="19" t="str">
        <x:v>NO_EVALUADA</x:v>
      </x:c>
      <x:c r="G57" s="19" t="str">
        <x:v>Debe demostrar delegación, feedback y revisión sin conflicto.</x:v>
      </x:c>
      <x:c r="H57" s="19" t="str">
        <x:v>Evaluación y artefacto reproducible pendientes.</x:v>
      </x:c>
    </x:row>
    <x:row r="58" ht="42" customHeight="1">
      <x:c r="A58" s="16" t="n">
        <x:v>7</x:v>
      </x:c>
      <x:c r="B58" s="16" t="str">
        <x:v>Nicolás Vega</x:v>
      </x:c>
      <x:c r="C58" s="21" t="str">
        <x:v>6bb2d326-3506-57c2-bfac-a0101bb3651a</x:v>
      </x:c>
      <x:c r="D58" s="21" t="str">
        <x:v>Interfaz web</x:v>
      </x:c>
      <x:c r="E58" s="21" t="n">
        <x:v>5</x:v>
      </x:c>
      <x:c r="F58" s="19" t="str">
        <x:v>NO_EVALUADA</x:v>
      </x:c>
      <x:c r="G58" s="19" t="str">
        <x:v>Pendiente de evaluación práctica independiente.</x:v>
      </x:c>
      <x:c r="H58" s="19" t="str">
        <x:v>Evaluación y artefacto reproducible pendientes.</x:v>
      </x:c>
    </x:row>
    <x:row r="59" ht="42" customHeight="1">
      <x:c r="A59" s="2" t="n">
        <x:v>7</x:v>
      </x:c>
      <x:c r="B59" s="2" t="str">
        <x:v>Nicolás Vega</x:v>
      </x:c>
      <x:c r="C59" s="22" t="str">
        <x:v>719d5bae-b403-5268-bcfc-101f02c8e4f7</x:v>
      </x:c>
      <x:c r="D59" s="22" t="str">
        <x:v>Accesibilidad</x:v>
      </x:c>
      <x:c r="E59" s="22" t="n">
        <x:v>5</x:v>
      </x:c>
      <x:c r="F59" s="19" t="str">
        <x:v>NO_EVALUADA</x:v>
      </x:c>
      <x:c r="G59" s="19" t="str">
        <x:v>Pendiente de evaluación práctica independiente.</x:v>
      </x:c>
      <x:c r="H59" s="19" t="str">
        <x:v>Evaluación y artefacto reproducible pendientes.</x:v>
      </x:c>
    </x:row>
    <x:row r="60" ht="42" customHeight="1">
      <x:c r="A60" s="16" t="n">
        <x:v>7</x:v>
      </x:c>
      <x:c r="B60" s="16" t="str">
        <x:v>Nicolás Vega</x:v>
      </x:c>
      <x:c r="C60" s="21" t="str">
        <x:v>c751ce6c-63e8-53e4-8559-bc559738f214</x:v>
      </x:c>
      <x:c r="D60" s="21" t="str">
        <x:v>Gestión de estado</x:v>
      </x:c>
      <x:c r="E60" s="21" t="n">
        <x:v>5</x:v>
      </x:c>
      <x:c r="F60" s="19" t="str">
        <x:v>NO_EVALUADA</x:v>
      </x:c>
      <x:c r="G60" s="19" t="str">
        <x:v>Pendiente de evaluación práctica independiente.</x:v>
      </x:c>
      <x:c r="H60" s="19" t="str">
        <x:v>Evaluación y artefacto reproducible pendientes.</x:v>
      </x:c>
    </x:row>
    <x:row r="61" ht="42" customHeight="1">
      <x:c r="A61" s="2" t="n">
        <x:v>7</x:v>
      </x:c>
      <x:c r="B61" s="2" t="str">
        <x:v>Nicolás Vega</x:v>
      </x:c>
      <x:c r="C61" s="22" t="str">
        <x:v>7d0987e7-db55-5798-bf76-6535728cbbbb</x:v>
      </x:c>
      <x:c r="D61" s="22" t="str">
        <x:v>Streaming</x:v>
      </x:c>
      <x:c r="E61" s="22" t="n">
        <x:v>5</x:v>
      </x:c>
      <x:c r="F61" s="19" t="str">
        <x:v>NO_EVALUADA</x:v>
      </x:c>
      <x:c r="G61" s="19" t="str">
        <x:v>Pendiente de evaluación práctica independiente.</x:v>
      </x:c>
      <x:c r="H61" s="19" t="str">
        <x:v>Evaluación y artefacto reproducible pendientes.</x:v>
      </x:c>
    </x:row>
    <x:row r="62" ht="42" customHeight="1">
      <x:c r="A62" s="16" t="n">
        <x:v>7</x:v>
      </x:c>
      <x:c r="B62" s="16" t="str">
        <x:v>Nicolás Vega</x:v>
      </x:c>
      <x:c r="C62" s="21" t="str">
        <x:v>78c896e2-84be-5e05-97bc-c1958a942735</x:v>
      </x:c>
      <x:c r="D62" s="21" t="str">
        <x:v>Pruebas de interfaz</x:v>
      </x:c>
      <x:c r="E62" s="21" t="n">
        <x:v>5</x:v>
      </x:c>
      <x:c r="F62" s="19" t="str">
        <x:v>NO_EVALUADA</x:v>
      </x:c>
      <x:c r="G62" s="19" t="str">
        <x:v>Pendiente de evaluación práctica independiente.</x:v>
      </x:c>
      <x:c r="H62" s="19" t="str">
        <x:v>Evaluación y artefacto reproducible pendientes.</x:v>
      </x:c>
    </x:row>
    <x:row r="63" ht="42" customHeight="1">
      <x:c r="A63" s="2" t="n">
        <x:v>7</x:v>
      </x:c>
      <x:c r="B63" s="2" t="str">
        <x:v>Nicolás Vega</x:v>
      </x:c>
      <x:c r="C63" s="22" t="str">
        <x:v>6531302e-9901-547a-bc84-fd5205e287bc</x:v>
      </x:c>
      <x:c r="D63" s="22" t="str">
        <x:v>Gestión de mandatos</x:v>
      </x:c>
      <x:c r="E63" s="22" t="n">
        <x:v>5</x:v>
      </x:c>
      <x:c r="F63" s="19" t="str">
        <x:v>NO_EVALUADA</x:v>
      </x:c>
      <x:c r="G63" s="19" t="str">
        <x:v>Pendiente de evaluación práctica independiente.</x:v>
      </x:c>
      <x:c r="H63" s="19" t="str">
        <x:v>Evaluación y artefacto reproducible pendientes.</x:v>
      </x:c>
    </x:row>
    <x:row r="64" ht="42" customHeight="1">
      <x:c r="A64" s="16" t="n">
        <x:v>7</x:v>
      </x:c>
      <x:c r="B64" s="16" t="str">
        <x:v>Nicolás Vega</x:v>
      </x:c>
      <x:c r="C64" s="21" t="str">
        <x:v>edd544b1-1e79-5fcf-8288-c1ff88e004ef</x:v>
      </x:c>
      <x:c r="D64" s="21" t="str">
        <x:v>Trazabilidad de evidencia</x:v>
      </x:c>
      <x:c r="E64" s="21" t="n">
        <x:v>5</x:v>
      </x:c>
      <x:c r="F64" s="19" t="str">
        <x:v>NO_EVALUADA</x:v>
      </x:c>
      <x:c r="G64" s="19" t="str">
        <x:v>Pendiente de evaluación práctica independiente.</x:v>
      </x:c>
      <x:c r="H64" s="19" t="str">
        <x:v>Evaluación y artefacto reproducible pendientes.</x:v>
      </x:c>
    </x:row>
    <x:row r="65" ht="42" customHeight="1">
      <x:c r="A65" s="2" t="n">
        <x:v>7</x:v>
      </x:c>
      <x:c r="B65" s="2" t="str">
        <x:v>Nicolás Vega</x:v>
      </x:c>
      <x:c r="C65" s="22" t="str">
        <x:v>c9125256-8d9d-5e0e-aaa3-2578149f9395</x:v>
      </x:c>
      <x:c r="D65" s="22" t="str">
        <x:v>Gestión de errores</x:v>
      </x:c>
      <x:c r="E65" s="22" t="n">
        <x:v>5</x:v>
      </x:c>
      <x:c r="F65" s="19" t="str">
        <x:v>NO_EVALUADA</x:v>
      </x:c>
      <x:c r="G65" s="19" t="str">
        <x:v>Pendiente de evaluación práctica independiente.</x:v>
      </x:c>
      <x:c r="H65" s="19" t="str">
        <x:v>Evaluación y artefacto reproducible pendientes.</x:v>
      </x:c>
    </x:row>
    <x:row r="66" ht="42" customHeight="1">
      <x:c r="A66" s="16" t="n">
        <x:v>7</x:v>
      </x:c>
      <x:c r="B66" s="16" t="str">
        <x:v>Nicolás Vega</x:v>
      </x:c>
      <x:c r="C66" s="21" t="str">
        <x:v>0f5f2798-bd44-5d4f-9b0c-dbc197d4ae47</x:v>
      </x:c>
      <x:c r="D66" s="21" t="str">
        <x:v>Supervisión técnica</x:v>
      </x:c>
      <x:c r="E66" s="21" t="n">
        <x:v>5</x:v>
      </x:c>
      <x:c r="F66" s="19" t="str">
        <x:v>NO_EVALUADA</x:v>
      </x:c>
      <x:c r="G66" s="19" t="str">
        <x:v>Debe demostrar delegación, feedback y revisión sin conflicto.</x:v>
      </x:c>
      <x:c r="H66" s="19" t="str">
        <x:v>Evaluación y artefacto reproducible pendientes.</x:v>
      </x:c>
    </x:row>
    <x:row r="67" ht="42" customHeight="1">
      <x:c r="A67" s="2" t="n">
        <x:v>8</x:v>
      </x:c>
      <x:c r="B67" s="2" t="str">
        <x:v>Inés Robles</x:v>
      </x:c>
      <x:c r="C67" s="22" t="str">
        <x:v>c612b7a5-b982-5386-abd2-fa9177ceb09b</x:v>
      </x:c>
      <x:c r="D67" s="22" t="str">
        <x:v>Revisión independiente</x:v>
      </x:c>
      <x:c r="E67" s="22" t="n">
        <x:v>5</x:v>
      </x:c>
      <x:c r="F67" s="19" t="str">
        <x:v>NO_EVALUADA</x:v>
      </x:c>
      <x:c r="G67" s="19" t="str">
        <x:v>Pendiente de evaluación práctica independiente.</x:v>
      </x:c>
      <x:c r="H67" s="19" t="str">
        <x:v>Evaluación y artefacto reproducible pendientes.</x:v>
      </x:c>
    </x:row>
    <x:row r="68" ht="42" customHeight="1">
      <x:c r="A68" s="16" t="n">
        <x:v>8</x:v>
      </x:c>
      <x:c r="B68" s="16" t="str">
        <x:v>Inés Robles</x:v>
      </x:c>
      <x:c r="C68" s="21" t="str">
        <x:v>b5892ca2-4c08-5ab5-8f83-68172840625c</x:v>
      </x:c>
      <x:c r="D68" s="21" t="str">
        <x:v>Análisis de contraejemplos</x:v>
      </x:c>
      <x:c r="E68" s="21" t="n">
        <x:v>5</x:v>
      </x:c>
      <x:c r="F68" s="19" t="str">
        <x:v>NO_EVALUADA</x:v>
      </x:c>
      <x:c r="G68" s="19" t="str">
        <x:v>Pendiente de evaluación práctica independiente.</x:v>
      </x:c>
      <x:c r="H68" s="19" t="str">
        <x:v>Evaluación y artefacto reproducible pendientes.</x:v>
      </x:c>
    </x:row>
    <x:row r="69" ht="42" customHeight="1">
      <x:c r="A69" s="2" t="n">
        <x:v>8</x:v>
      </x:c>
      <x:c r="B69" s="2" t="str">
        <x:v>Inés Robles</x:v>
      </x:c>
      <x:c r="C69" s="22" t="str">
        <x:v>edd544b1-1e79-5fcf-8288-c1ff88e004ef</x:v>
      </x:c>
      <x:c r="D69" s="22" t="str">
        <x:v>Trazabilidad de evidencia</x:v>
      </x:c>
      <x:c r="E69" s="22" t="n">
        <x:v>5</x:v>
      </x:c>
      <x:c r="F69" s="19" t="str">
        <x:v>NO_EVALUADA</x:v>
      </x:c>
      <x:c r="G69" s="19" t="str">
        <x:v>Pendiente de evaluación práctica independiente.</x:v>
      </x:c>
      <x:c r="H69" s="19" t="str">
        <x:v>Evaluación y artefacto reproducible pendientes.</x:v>
      </x:c>
    </x:row>
    <x:row r="70" ht="42" customHeight="1">
      <x:c r="A70" s="16" t="n">
        <x:v>8</x:v>
      </x:c>
      <x:c r="B70" s="16" t="str">
        <x:v>Inés Robles</x:v>
      </x:c>
      <x:c r="C70" s="21" t="str">
        <x:v>66a31cbb-499f-5d5b-b2fb-f70bc9cc6a9f</x:v>
      </x:c>
      <x:c r="D70" s="21" t="str">
        <x:v>Análisis de riesgo</x:v>
      </x:c>
      <x:c r="E70" s="21" t="n">
        <x:v>5</x:v>
      </x:c>
      <x:c r="F70" s="19" t="str">
        <x:v>NO_EVALUADA</x:v>
      </x:c>
      <x:c r="G70" s="19" t="str">
        <x:v>Pendiente de evaluación práctica independiente.</x:v>
      </x:c>
      <x:c r="H70" s="19" t="str">
        <x:v>Evaluación y artefacto reproducible pendientes.</x:v>
      </x:c>
    </x:row>
    <x:row r="71" ht="42" customHeight="1">
      <x:c r="A71" s="2" t="n">
        <x:v>8</x:v>
      </x:c>
      <x:c r="B71" s="2" t="str">
        <x:v>Inés Robles</x:v>
      </x:c>
      <x:c r="C71" s="22" t="str">
        <x:v>a0f02646-0add-5233-b8ce-da381f6af474</x:v>
      </x:c>
      <x:c r="D71" s="22" t="str">
        <x:v>Diseño de pruebas</x:v>
      </x:c>
      <x:c r="E71" s="22" t="n">
        <x:v>5</x:v>
      </x:c>
      <x:c r="F71" s="19" t="str">
        <x:v>NO_EVALUADA</x:v>
      </x:c>
      <x:c r="G71" s="19" t="str">
        <x:v>Pendiente de evaluación práctica independiente.</x:v>
      </x:c>
      <x:c r="H71" s="19" t="str">
        <x:v>Evaluación y artefacto reproducible pendientes.</x:v>
      </x:c>
    </x:row>
    <x:row r="72" ht="42" customHeight="1">
      <x:c r="A72" s="16" t="n">
        <x:v>8</x:v>
      </x:c>
      <x:c r="B72" s="16" t="str">
        <x:v>Inés Robles</x:v>
      </x:c>
      <x:c r="C72" s="21" t="str">
        <x:v>6531302e-9901-547a-bc84-fd5205e287bc</x:v>
      </x:c>
      <x:c r="D72" s="21" t="str">
        <x:v>Gestión de mandatos</x:v>
      </x:c>
      <x:c r="E72" s="21" t="n">
        <x:v>5</x:v>
      </x:c>
      <x:c r="F72" s="19" t="str">
        <x:v>NO_EVALUADA</x:v>
      </x:c>
      <x:c r="G72" s="19" t="str">
        <x:v>Pendiente de evaluación práctica independiente.</x:v>
      </x:c>
      <x:c r="H72" s="19" t="str">
        <x:v>Evaluación y artefacto reproducible pendientes.</x:v>
      </x:c>
    </x:row>
    <x:row r="73" ht="42" customHeight="1">
      <x:c r="A73" s="2" t="n">
        <x:v>8</x:v>
      </x:c>
      <x:c r="B73" s="2" t="str">
        <x:v>Inés Robles</x:v>
      </x:c>
      <x:c r="C73" s="22" t="str">
        <x:v>c9125256-8d9d-5e0e-aaa3-2578149f9395</x:v>
      </x:c>
      <x:c r="D73" s="22" t="str">
        <x:v>Gestión de errores</x:v>
      </x:c>
      <x:c r="E73" s="22" t="n">
        <x:v>5</x:v>
      </x:c>
      <x:c r="F73" s="19" t="str">
        <x:v>NO_EVALUADA</x:v>
      </x:c>
      <x:c r="G73" s="19" t="str">
        <x:v>Pendiente de evaluación práctica independiente.</x:v>
      </x:c>
      <x:c r="H73" s="19" t="str">
        <x:v>Evaluación y artefacto reproducible pendientes.</x:v>
      </x:c>
    </x:row>
    <x:row r="74" ht="42" customHeight="1">
      <x:c r="A74" s="16" t="n">
        <x:v>8</x:v>
      </x:c>
      <x:c r="B74" s="16" t="str">
        <x:v>Inés Robles</x:v>
      </x:c>
      <x:c r="C74" s="21" t="str">
        <x:v>0f5f2798-bd44-5d4f-9b0c-dbc197d4ae47</x:v>
      </x:c>
      <x:c r="D74" s="21" t="str">
        <x:v>Supervisión técnica</x:v>
      </x:c>
      <x:c r="E74" s="21" t="n">
        <x:v>5</x:v>
      </x:c>
      <x:c r="F74" s="19" t="str">
        <x:v>NO_EVALUADA</x:v>
      </x:c>
      <x:c r="G74" s="19" t="str">
        <x:v>Debe demostrar delegación, feedback y revisión sin conflicto.</x:v>
      </x:c>
      <x:c r="H74" s="19" t="str">
        <x:v>Evaluación y artefacto reproducible pendientes.</x:v>
      </x:c>
    </x:row>
    <x:row r="75" ht="42" customHeight="1">
      <x:c r="A75" s="2" t="n">
        <x:v>9</x:v>
      </x:c>
      <x:c r="B75" s="2" t="str">
        <x:v>Valeria Ríos</x:v>
      </x:c>
      <x:c r="C75" s="22" t="str">
        <x:v>b30c05e7-1e16-5ae2-b5be-296fe79d81ac</x:v>
      </x:c>
      <x:c r="D75" s="22" t="str">
        <x:v>Modelado de amenazas</x:v>
      </x:c>
      <x:c r="E75" s="22" t="n">
        <x:v>5</x:v>
      </x:c>
      <x:c r="F75" s="19" t="str">
        <x:v>NO_EVALUADA</x:v>
      </x:c>
      <x:c r="G75" s="19" t="str">
        <x:v>Pendiente de evaluación práctica independiente.</x:v>
      </x:c>
      <x:c r="H75" s="19" t="str">
        <x:v>Evaluación y artefacto reproducible pendientes.</x:v>
      </x:c>
    </x:row>
    <x:row r="76" ht="42" customHeight="1">
      <x:c r="A76" s="16" t="n">
        <x:v>9</x:v>
      </x:c>
      <x:c r="B76" s="16" t="str">
        <x:v>Valeria Ríos</x:v>
      </x:c>
      <x:c r="C76" s="21" t="str">
        <x:v>97bdc01a-6c3c-588d-a816-d93c244a41c7</x:v>
      </x:c>
      <x:c r="D76" s="21" t="str">
        <x:v>Autorización</x:v>
      </x:c>
      <x:c r="E76" s="21" t="n">
        <x:v>5</x:v>
      </x:c>
      <x:c r="F76" s="19" t="str">
        <x:v>NO_EVALUADA</x:v>
      </x:c>
      <x:c r="G76" s="19" t="str">
        <x:v>Pendiente de evaluación práctica independiente.</x:v>
      </x:c>
      <x:c r="H76" s="19" t="str">
        <x:v>Evaluación y artefacto reproducible pendientes.</x:v>
      </x:c>
    </x:row>
    <x:row r="77" ht="42" customHeight="1">
      <x:c r="A77" s="2" t="n">
        <x:v>9</x:v>
      </x:c>
      <x:c r="B77" s="2" t="str">
        <x:v>Valeria Ríos</x:v>
      </x:c>
      <x:c r="C77" s="22" t="str">
        <x:v>d5469a71-6282-5b52-abda-3053235364c3</x:v>
      </x:c>
      <x:c r="D77" s="22" t="str">
        <x:v>Gestión de secretos</x:v>
      </x:c>
      <x:c r="E77" s="22" t="n">
        <x:v>5</x:v>
      </x:c>
      <x:c r="F77" s="19" t="str">
        <x:v>NO_EVALUADA</x:v>
      </x:c>
      <x:c r="G77" s="19" t="str">
        <x:v>Pendiente de evaluación práctica independiente.</x:v>
      </x:c>
      <x:c r="H77" s="19" t="str">
        <x:v>Evaluación y artefacto reproducible pendientes.</x:v>
      </x:c>
    </x:row>
    <x:row r="78" ht="42" customHeight="1">
      <x:c r="A78" s="16" t="n">
        <x:v>9</x:v>
      </x:c>
      <x:c r="B78" s="16" t="str">
        <x:v>Valeria Ríos</x:v>
      </x:c>
      <x:c r="C78" s="21" t="str">
        <x:v>afb3176d-14b0-5d94-8093-d89d4e1b1d88</x:v>
      </x:c>
      <x:c r="D78" s="21" t="str">
        <x:v>Inyección de instrucciones</x:v>
      </x:c>
      <x:c r="E78" s="21" t="n">
        <x:v>5</x:v>
      </x:c>
      <x:c r="F78" s="19" t="str">
        <x:v>NO_EVALUADA</x:v>
      </x:c>
      <x:c r="G78" s="19" t="str">
        <x:v>Pendiente de evaluación práctica independiente.</x:v>
      </x:c>
      <x:c r="H78" s="19" t="str">
        <x:v>Evaluación y artefacto reproducible pendientes.</x:v>
      </x:c>
    </x:row>
    <x:row r="79" ht="42" customHeight="1">
      <x:c r="A79" s="2" t="n">
        <x:v>9</x:v>
      </x:c>
      <x:c r="B79" s="2" t="str">
        <x:v>Valeria Ríos</x:v>
      </x:c>
      <x:c r="C79" s="22" t="str">
        <x:v>c78a1452-ee6e-57b9-a5e2-06b1e106ca37</x:v>
      </x:c>
      <x:c r="D79" s="22" t="str">
        <x:v>Seguridad de dependencias</x:v>
      </x:c>
      <x:c r="E79" s="22" t="n">
        <x:v>5</x:v>
      </x:c>
      <x:c r="F79" s="19" t="str">
        <x:v>NO_EVALUADA</x:v>
      </x:c>
      <x:c r="G79" s="19" t="str">
        <x:v>Pendiente de evaluación práctica independiente.</x:v>
      </x:c>
      <x:c r="H79" s="19" t="str">
        <x:v>Evaluación y artefacto reproducible pendientes.</x:v>
      </x:c>
    </x:row>
    <x:row r="80" ht="42" customHeight="1">
      <x:c r="A80" s="16" t="n">
        <x:v>9</x:v>
      </x:c>
      <x:c r="B80" s="16" t="str">
        <x:v>Valeria Ríos</x:v>
      </x:c>
      <x:c r="C80" s="21" t="str">
        <x:v>6531302e-9901-547a-bc84-fd5205e287bc</x:v>
      </x:c>
      <x:c r="D80" s="21" t="str">
        <x:v>Gestión de mandatos</x:v>
      </x:c>
      <x:c r="E80" s="21" t="n">
        <x:v>5</x:v>
      </x:c>
      <x:c r="F80" s="19" t="str">
        <x:v>NO_EVALUADA</x:v>
      </x:c>
      <x:c r="G80" s="19" t="str">
        <x:v>Pendiente de evaluación práctica independiente.</x:v>
      </x:c>
      <x:c r="H80" s="19" t="str">
        <x:v>Evaluación y artefacto reproducible pendientes.</x:v>
      </x:c>
    </x:row>
    <x:row r="81" ht="42" customHeight="1">
      <x:c r="A81" s="2" t="n">
        <x:v>9</x:v>
      </x:c>
      <x:c r="B81" s="2" t="str">
        <x:v>Valeria Ríos</x:v>
      </x:c>
      <x:c r="C81" s="22" t="str">
        <x:v>edd544b1-1e79-5fcf-8288-c1ff88e004ef</x:v>
      </x:c>
      <x:c r="D81" s="22" t="str">
        <x:v>Trazabilidad de evidencia</x:v>
      </x:c>
      <x:c r="E81" s="22" t="n">
        <x:v>5</x:v>
      </x:c>
      <x:c r="F81" s="19" t="str">
        <x:v>NO_EVALUADA</x:v>
      </x:c>
      <x:c r="G81" s="19" t="str">
        <x:v>Pendiente de evaluación práctica independiente.</x:v>
      </x:c>
      <x:c r="H81" s="19" t="str">
        <x:v>Evaluación y artefacto reproducible pendientes.</x:v>
      </x:c>
    </x:row>
    <x:row r="82" ht="42" customHeight="1">
      <x:c r="A82" s="16" t="n">
        <x:v>9</x:v>
      </x:c>
      <x:c r="B82" s="16" t="str">
        <x:v>Valeria Ríos</x:v>
      </x:c>
      <x:c r="C82" s="21" t="str">
        <x:v>c9125256-8d9d-5e0e-aaa3-2578149f9395</x:v>
      </x:c>
      <x:c r="D82" s="21" t="str">
        <x:v>Gestión de errores</x:v>
      </x:c>
      <x:c r="E82" s="21" t="n">
        <x:v>5</x:v>
      </x:c>
      <x:c r="F82" s="19" t="str">
        <x:v>NO_EVALUADA</x:v>
      </x:c>
      <x:c r="G82" s="19" t="str">
        <x:v>Pendiente de evaluación práctica independiente.</x:v>
      </x:c>
      <x:c r="H82" s="19" t="str">
        <x:v>Evaluación y artefacto reproducible pendientes.</x:v>
      </x:c>
    </x:row>
    <x:row r="83" ht="42" customHeight="1">
      <x:c r="A83" s="2" t="n">
        <x:v>10</x:v>
      </x:c>
      <x:c r="B83" s="2" t="str">
        <x:v>Iván Olivares</x:v>
      </x:c>
      <x:c r="C83" s="22" t="str">
        <x:v>edd544b1-1e79-5fcf-8288-c1ff88e004ef</x:v>
      </x:c>
      <x:c r="D83" s="22" t="str">
        <x:v>Trazabilidad de evidencia</x:v>
      </x:c>
      <x:c r="E83" s="22" t="n">
        <x:v>5</x:v>
      </x:c>
      <x:c r="F83" s="19" t="str">
        <x:v>NO_EVALUADA</x:v>
      </x:c>
      <x:c r="G83" s="19" t="str">
        <x:v>Pendiente de evaluación práctica independiente.</x:v>
      </x:c>
      <x:c r="H83" s="19" t="str">
        <x:v>Evaluación y artefacto reproducible pendientes.</x:v>
      </x:c>
    </x:row>
    <x:row r="84" ht="42" customHeight="1">
      <x:c r="A84" s="16" t="n">
        <x:v>10</x:v>
      </x:c>
      <x:c r="B84" s="16" t="str">
        <x:v>Iván Olivares</x:v>
      </x:c>
      <x:c r="C84" s="21" t="str">
        <x:v>c612b7a5-b982-5386-abd2-fa9177ceb09b</x:v>
      </x:c>
      <x:c r="D84" s="21" t="str">
        <x:v>Revisión independiente</x:v>
      </x:c>
      <x:c r="E84" s="21" t="n">
        <x:v>5</x:v>
      </x:c>
      <x:c r="F84" s="19" t="str">
        <x:v>NO_EVALUADA</x:v>
      </x:c>
      <x:c r="G84" s="19" t="str">
        <x:v>Pendiente de evaluación práctica independiente.</x:v>
      </x:c>
      <x:c r="H84" s="19" t="str">
        <x:v>Evaluación y artefacto reproducible pendientes.</x:v>
      </x:c>
    </x:row>
    <x:row r="85" ht="42" customHeight="1">
      <x:c r="A85" s="2" t="n">
        <x:v>10</x:v>
      </x:c>
      <x:c r="B85" s="2" t="str">
        <x:v>Iván Olivares</x:v>
      </x:c>
      <x:c r="C85" s="22" t="str">
        <x:v>c9f742ff-9efd-5f3f-bbbd-0fc014d43c75</x:v>
      </x:c>
      <x:c r="D85" s="22" t="str">
        <x:v>Integridad de artefactos</x:v>
      </x:c>
      <x:c r="E85" s="22" t="n">
        <x:v>5</x:v>
      </x:c>
      <x:c r="F85" s="19" t="str">
        <x:v>NO_EVALUADA</x:v>
      </x:c>
      <x:c r="G85" s="19" t="str">
        <x:v>Pendiente de evaluación práctica independiente.</x:v>
      </x:c>
      <x:c r="H85" s="19" t="str">
        <x:v>Evaluación y artefacto reproducible pendientes.</x:v>
      </x:c>
    </x:row>
    <x:row r="86" ht="42" customHeight="1">
      <x:c r="A86" s="16" t="n">
        <x:v>10</x:v>
      </x:c>
      <x:c r="B86" s="16" t="str">
        <x:v>Iván Olivares</x:v>
      </x:c>
      <x:c r="C86" s="21" t="str">
        <x:v>b5892ca2-4c08-5ab5-8f83-68172840625c</x:v>
      </x:c>
      <x:c r="D86" s="21" t="str">
        <x:v>Análisis de contraejemplos</x:v>
      </x:c>
      <x:c r="E86" s="21" t="n">
        <x:v>5</x:v>
      </x:c>
      <x:c r="F86" s="19" t="str">
        <x:v>NO_EVALUADA</x:v>
      </x:c>
      <x:c r="G86" s="19" t="str">
        <x:v>Pendiente de evaluación práctica independiente.</x:v>
      </x:c>
      <x:c r="H86" s="19" t="str">
        <x:v>Evaluación y artefacto reproducible pendientes.</x:v>
      </x:c>
    </x:row>
    <x:row r="87" ht="42" customHeight="1">
      <x:c r="A87" s="2" t="n">
        <x:v>10</x:v>
      </x:c>
      <x:c r="B87" s="2" t="str">
        <x:v>Iván Olivares</x:v>
      </x:c>
      <x:c r="C87" s="22" t="str">
        <x:v>6fff7b35-c8e9-5f65-b895-28f1287fcf0f</x:v>
      </x:c>
      <x:c r="D87" s="22" t="str">
        <x:v>Gestión de gates</x:v>
      </x:c>
      <x:c r="E87" s="22" t="n">
        <x:v>5</x:v>
      </x:c>
      <x:c r="F87" s="19" t="str">
        <x:v>NO_EVALUADA</x:v>
      </x:c>
      <x:c r="G87" s="19" t="str">
        <x:v>Pendiente de evaluación práctica independiente.</x:v>
      </x:c>
      <x:c r="H87" s="19" t="str">
        <x:v>Evaluación y artefacto reproducible pendientes.</x:v>
      </x:c>
    </x:row>
    <x:row r="88" ht="42" customHeight="1">
      <x:c r="A88" s="16" t="n">
        <x:v>10</x:v>
      </x:c>
      <x:c r="B88" s="16" t="str">
        <x:v>Iván Olivares</x:v>
      </x:c>
      <x:c r="C88" s="21" t="str">
        <x:v>6531302e-9901-547a-bc84-fd5205e287bc</x:v>
      </x:c>
      <x:c r="D88" s="21" t="str">
        <x:v>Gestión de mandatos</x:v>
      </x:c>
      <x:c r="E88" s="21" t="n">
        <x:v>5</x:v>
      </x:c>
      <x:c r="F88" s="19" t="str">
        <x:v>NO_EVALUADA</x:v>
      </x:c>
      <x:c r="G88" s="19" t="str">
        <x:v>Pendiente de evaluación práctica independiente.</x:v>
      </x:c>
      <x:c r="H88" s="19" t="str">
        <x:v>Evaluación y artefacto reproducible pendientes.</x:v>
      </x:c>
    </x:row>
    <x:row r="89" ht="42" customHeight="1">
      <x:c r="A89" s="2" t="n">
        <x:v>10</x:v>
      </x:c>
      <x:c r="B89" s="2" t="str">
        <x:v>Iván Olivares</x:v>
      </x:c>
      <x:c r="C89" s="22" t="str">
        <x:v>c9125256-8d9d-5e0e-aaa3-2578149f9395</x:v>
      </x:c>
      <x:c r="D89" s="22" t="str">
        <x:v>Gestión de errores</x:v>
      </x:c>
      <x:c r="E89" s="22" t="n">
        <x:v>5</x:v>
      </x:c>
      <x:c r="F89" s="19" t="str">
        <x:v>NO_EVALUADA</x:v>
      </x:c>
      <x:c r="G89" s="19" t="str">
        <x:v>Pendiente de evaluación práctica independiente.</x:v>
      </x:c>
      <x:c r="H89" s="19" t="str">
        <x:v>Evaluación y artefacto reproducible pendientes.</x:v>
      </x:c>
    </x:row>
    <x:row r="90" ht="42" customHeight="1">
      <x:c r="A90" s="16" t="n">
        <x:v>11</x:v>
      </x:c>
      <x:c r="B90" s="16" t="str">
        <x:v>Andrés Leiva</x:v>
      </x:c>
      <x:c r="C90" s="21" t="str">
        <x:v>4926fe20-8dfa-57e1-aada-1ffebe1520db</x:v>
      </x:c>
      <x:c r="D90" s="21" t="str">
        <x:v>Observabilidad</x:v>
      </x:c>
      <x:c r="E90" s="21" t="n">
        <x:v>5</x:v>
      </x:c>
      <x:c r="F90" s="19" t="str">
        <x:v>NO_EVALUADA</x:v>
      </x:c>
      <x:c r="G90" s="19" t="str">
        <x:v>Pendiente de evaluación práctica independiente.</x:v>
      </x:c>
      <x:c r="H90" s="19" t="str">
        <x:v>Evaluación y artefacto reproducible pendientes.</x:v>
      </x:c>
    </x:row>
    <x:row r="91" ht="42" customHeight="1">
      <x:c r="A91" s="2" t="n">
        <x:v>11</x:v>
      </x:c>
      <x:c r="B91" s="2" t="str">
        <x:v>Andrés Leiva</x:v>
      </x:c>
      <x:c r="C91" s="22" t="str">
        <x:v>197ff2d9-763c-5cc6-9bbf-7478df7c492a</x:v>
      </x:c>
      <x:c r="D91" s="22" t="str">
        <x:v>Respuesta a incidentes</x:v>
      </x:c>
      <x:c r="E91" s="22" t="n">
        <x:v>5</x:v>
      </x:c>
      <x:c r="F91" s="19" t="str">
        <x:v>NO_EVALUADA</x:v>
      </x:c>
      <x:c r="G91" s="19" t="str">
        <x:v>Pendiente de evaluación práctica independiente.</x:v>
      </x:c>
      <x:c r="H91" s="19" t="str">
        <x:v>Evaluación y artefacto reproducible pendientes.</x:v>
      </x:c>
    </x:row>
    <x:row r="92" ht="42" customHeight="1">
      <x:c r="A92" s="16" t="n">
        <x:v>11</x:v>
      </x:c>
      <x:c r="B92" s="16" t="str">
        <x:v>Andrés Leiva</x:v>
      </x:c>
      <x:c r="C92" s="21" t="str">
        <x:v>18333bc8-849f-5437-a764-7b93ef961983</x:v>
      </x:c>
      <x:c r="D92" s="21" t="str">
        <x:v>Recuperación</x:v>
      </x:c>
      <x:c r="E92" s="21" t="n">
        <x:v>5</x:v>
      </x:c>
      <x:c r="F92" s="19" t="str">
        <x:v>NO_EVALUADA</x:v>
      </x:c>
      <x:c r="G92" s="19" t="str">
        <x:v>Pendiente de evaluación práctica independiente.</x:v>
      </x:c>
      <x:c r="H92" s="19" t="str">
        <x:v>Evaluación y artefacto reproducible pendientes.</x:v>
      </x:c>
    </x:row>
    <x:row r="93" ht="42" customHeight="1">
      <x:c r="A93" s="2" t="n">
        <x:v>11</x:v>
      </x:c>
      <x:c r="B93" s="2" t="str">
        <x:v>Andrés Leiva</x:v>
      </x:c>
      <x:c r="C93" s="22" t="str">
        <x:v>bf708762-9c18-5fa8-974e-8076c9e98d94</x:v>
      </x:c>
      <x:c r="D93" s="22" t="str">
        <x:v>SLO</x:v>
      </x:c>
      <x:c r="E93" s="22" t="n">
        <x:v>5</x:v>
      </x:c>
      <x:c r="F93" s="19" t="str">
        <x:v>NO_EVALUADA</x:v>
      </x:c>
      <x:c r="G93" s="19" t="str">
        <x:v>Pendiente de evaluación práctica independiente.</x:v>
      </x:c>
      <x:c r="H93" s="19" t="str">
        <x:v>Evaluación y artefacto reproducible pendientes.</x:v>
      </x:c>
    </x:row>
    <x:row r="94" ht="42" customHeight="1">
      <x:c r="A94" s="16" t="n">
        <x:v>11</x:v>
      </x:c>
      <x:c r="B94" s="16" t="str">
        <x:v>Andrés Leiva</x:v>
      </x:c>
      <x:c r="C94" s="21" t="str">
        <x:v>46d41452-fb3c-53ef-aeeb-54aba3af49c1</x:v>
      </x:c>
      <x:c r="D94" s="21" t="str">
        <x:v>Operación segura</x:v>
      </x:c>
      <x:c r="E94" s="21" t="n">
        <x:v>5</x:v>
      </x:c>
      <x:c r="F94" s="19" t="str">
        <x:v>NO_EVALUADA</x:v>
      </x:c>
      <x:c r="G94" s="19" t="str">
        <x:v>Pendiente de evaluación práctica independiente.</x:v>
      </x:c>
      <x:c r="H94" s="19" t="str">
        <x:v>Evaluación y artefacto reproducible pendientes.</x:v>
      </x:c>
    </x:row>
    <x:row r="95" ht="42" customHeight="1">
      <x:c r="A95" s="2" t="n">
        <x:v>11</x:v>
      </x:c>
      <x:c r="B95" s="2" t="str">
        <x:v>Andrés Leiva</x:v>
      </x:c>
      <x:c r="C95" s="22" t="str">
        <x:v>6531302e-9901-547a-bc84-fd5205e287bc</x:v>
      </x:c>
      <x:c r="D95" s="22" t="str">
        <x:v>Gestión de mandatos</x:v>
      </x:c>
      <x:c r="E95" s="22" t="n">
        <x:v>5</x:v>
      </x:c>
      <x:c r="F95" s="19" t="str">
        <x:v>NO_EVALUADA</x:v>
      </x:c>
      <x:c r="G95" s="19" t="str">
        <x:v>Pendiente de evaluación práctica independiente.</x:v>
      </x:c>
      <x:c r="H95" s="19" t="str">
        <x:v>Evaluación y artefacto reproducible pendientes.</x:v>
      </x:c>
    </x:row>
    <x:row r="96" ht="42" customHeight="1">
      <x:c r="A96" s="16" t="n">
        <x:v>11</x:v>
      </x:c>
      <x:c r="B96" s="16" t="str">
        <x:v>Andrés Leiva</x:v>
      </x:c>
      <x:c r="C96" s="21" t="str">
        <x:v>edd544b1-1e79-5fcf-8288-c1ff88e004ef</x:v>
      </x:c>
      <x:c r="D96" s="21" t="str">
        <x:v>Trazabilidad de evidencia</x:v>
      </x:c>
      <x:c r="E96" s="21" t="n">
        <x:v>5</x:v>
      </x:c>
      <x:c r="F96" s="19" t="str">
        <x:v>NO_EVALUADA</x:v>
      </x:c>
      <x:c r="G96" s="19" t="str">
        <x:v>Pendiente de evaluación práctica independiente.</x:v>
      </x:c>
      <x:c r="H96" s="19" t="str">
        <x:v>Evaluación y artefacto reproducible pendientes.</x:v>
      </x:c>
    </x:row>
    <x:row r="97" ht="42" customHeight="1">
      <x:c r="A97" s="2" t="n">
        <x:v>11</x:v>
      </x:c>
      <x:c r="B97" s="2" t="str">
        <x:v>Andrés Leiva</x:v>
      </x:c>
      <x:c r="C97" s="22" t="str">
        <x:v>c9125256-8d9d-5e0e-aaa3-2578149f9395</x:v>
      </x:c>
      <x:c r="D97" s="22" t="str">
        <x:v>Gestión de errores</x:v>
      </x:c>
      <x:c r="E97" s="22" t="n">
        <x:v>5</x:v>
      </x:c>
      <x:c r="F97" s="19" t="str">
        <x:v>NO_EVALUADA</x:v>
      </x:c>
      <x:c r="G97" s="19" t="str">
        <x:v>Pendiente de evaluación práctica independiente.</x:v>
      </x:c>
      <x:c r="H97" s="19" t="str">
        <x:v>Evaluación y artefacto reproducible pendientes.</x:v>
      </x:c>
    </x:row>
    <x:row r="98" ht="42" customHeight="1">
      <x:c r="A98" s="16" t="n">
        <x:v>12</x:v>
      </x:c>
      <x:c r="B98" s="16" t="str">
        <x:v>Hugo Serrano</x:v>
      </x:c>
      <x:c r="C98" s="21" t="str">
        <x:v>a7adef04-e92e-54d3-ae94-7e86a22de3a5</x:v>
      </x:c>
      <x:c r="D98" s="21" t="str">
        <x:v>Conciliación</x:v>
      </x:c>
      <x:c r="E98" s="21" t="n">
        <x:v>5</x:v>
      </x:c>
      <x:c r="F98" s="19" t="str">
        <x:v>NO_EVALUADA</x:v>
      </x:c>
      <x:c r="G98" s="19" t="str">
        <x:v>Pendiente de evaluación práctica independiente.</x:v>
      </x:c>
      <x:c r="H98" s="19" t="str">
        <x:v>Evaluación y artefacto reproducible pendientes.</x:v>
      </x:c>
    </x:row>
    <x:row r="99" ht="42" customHeight="1">
      <x:c r="A99" s="2" t="n">
        <x:v>12</x:v>
      </x:c>
      <x:c r="B99" s="2" t="str">
        <x:v>Hugo Serrano</x:v>
      </x:c>
      <x:c r="C99" s="22" t="str">
        <x:v>583cf9b7-c06c-534b-9281-e01ec51e9833</x:v>
      </x:c>
      <x:c r="D99" s="22" t="str">
        <x:v>Contabilidad de eventos</x:v>
      </x:c>
      <x:c r="E99" s="22" t="n">
        <x:v>5</x:v>
      </x:c>
      <x:c r="F99" s="19" t="str">
        <x:v>NO_EVALUADA</x:v>
      </x:c>
      <x:c r="G99" s="19" t="str">
        <x:v>Pendiente de evaluación práctica independiente.</x:v>
      </x:c>
      <x:c r="H99" s="19" t="str">
        <x:v>Evaluación y artefacto reproducible pendientes.</x:v>
      </x:c>
    </x:row>
    <x:row r="100" ht="42" customHeight="1">
      <x:c r="A100" s="16" t="n">
        <x:v>12</x:v>
      </x:c>
      <x:c r="B100" s="16" t="str">
        <x:v>Hugo Serrano</x:v>
      </x:c>
      <x:c r="C100" s="21" t="str">
        <x:v>963555e3-2c14-5478-ac44-42efb5831990</x:v>
      </x:c>
      <x:c r="D100" s="21" t="str">
        <x:v>Precisión numérica</x:v>
      </x:c>
      <x:c r="E100" s="21" t="n">
        <x:v>5</x:v>
      </x:c>
      <x:c r="F100" s="19" t="str">
        <x:v>NO_EVALUADA</x:v>
      </x:c>
      <x:c r="G100" s="19" t="str">
        <x:v>Pendiente de evaluación práctica independiente.</x:v>
      </x:c>
      <x:c r="H100" s="19" t="str">
        <x:v>Evaluación y artefacto reproducible pendientes.</x:v>
      </x:c>
    </x:row>
    <x:row r="101" ht="42" customHeight="1">
      <x:c r="A101" s="2" t="n">
        <x:v>12</x:v>
      </x:c>
      <x:c r="B101" s="2" t="str">
        <x:v>Hugo Serrano</x:v>
      </x:c>
      <x:c r="C101" s="22" t="str">
        <x:v>edd544b1-1e79-5fcf-8288-c1ff88e004ef</x:v>
      </x:c>
      <x:c r="D101" s="22" t="str">
        <x:v>Trazabilidad de evidencia</x:v>
      </x:c>
      <x:c r="E101" s="22" t="n">
        <x:v>5</x:v>
      </x:c>
      <x:c r="F101" s="19" t="str">
        <x:v>NO_EVALUADA</x:v>
      </x:c>
      <x:c r="G101" s="19" t="str">
        <x:v>Pendiente de evaluación práctica independiente.</x:v>
      </x:c>
      <x:c r="H101" s="19" t="str">
        <x:v>Evaluación y artefacto reproducible pendientes.</x:v>
      </x:c>
    </x:row>
    <x:row r="102" ht="42" customHeight="1">
      <x:c r="A102" s="16" t="n">
        <x:v>12</x:v>
      </x:c>
      <x:c r="B102" s="16" t="str">
        <x:v>Hugo Serrano</x:v>
      </x:c>
      <x:c r="C102" s="21" t="str">
        <x:v>73e7eed3-d208-57e6-9739-2e1c043bc759</x:v>
      </x:c>
      <x:c r="D102" s="21" t="str">
        <x:v>Análisis dimensional</x:v>
      </x:c>
      <x:c r="E102" s="21" t="n">
        <x:v>5</x:v>
      </x:c>
      <x:c r="F102" s="19" t="str">
        <x:v>NO_EVALUADA</x:v>
      </x:c>
      <x:c r="G102" s="19" t="str">
        <x:v>Pendiente de evaluación práctica independiente.</x:v>
      </x:c>
      <x:c r="H102" s="19" t="str">
        <x:v>Evaluación y artefacto reproducible pendientes.</x:v>
      </x:c>
    </x:row>
    <x:row r="103" ht="42" customHeight="1">
      <x:c r="A103" s="2" t="n">
        <x:v>12</x:v>
      </x:c>
      <x:c r="B103" s="2" t="str">
        <x:v>Hugo Serrano</x:v>
      </x:c>
      <x:c r="C103" s="22" t="str">
        <x:v>6531302e-9901-547a-bc84-fd5205e287bc</x:v>
      </x:c>
      <x:c r="D103" s="22" t="str">
        <x:v>Gestión de mandatos</x:v>
      </x:c>
      <x:c r="E103" s="22" t="n">
        <x:v>5</x:v>
      </x:c>
      <x:c r="F103" s="19" t="str">
        <x:v>NO_EVALUADA</x:v>
      </x:c>
      <x:c r="G103" s="19" t="str">
        <x:v>Pendiente de evaluación práctica independiente.</x:v>
      </x:c>
      <x:c r="H103" s="19" t="str">
        <x:v>Evaluación y artefacto reproducible pendientes.</x:v>
      </x:c>
    </x:row>
    <x:row r="104" ht="42" customHeight="1">
      <x:c r="A104" s="16" t="n">
        <x:v>12</x:v>
      </x:c>
      <x:c r="B104" s="16" t="str">
        <x:v>Hugo Serrano</x:v>
      </x:c>
      <x:c r="C104" s="21" t="str">
        <x:v>c9125256-8d9d-5e0e-aaa3-2578149f9395</x:v>
      </x:c>
      <x:c r="D104" s="21" t="str">
        <x:v>Gestión de errores</x:v>
      </x:c>
      <x:c r="E104" s="21" t="n">
        <x:v>5</x:v>
      </x:c>
      <x:c r="F104" s="19" t="str">
        <x:v>NO_EVALUADA</x:v>
      </x:c>
      <x:c r="G104" s="19" t="str">
        <x:v>Pendiente de evaluación práctica independiente.</x:v>
      </x:c>
      <x:c r="H104" s="19" t="str">
        <x:v>Evaluación y artefacto reproducible pendientes.</x:v>
      </x:c>
    </x:row>
    <x:row r="105" ht="42" customHeight="1">
      <x:c r="A105" s="2" t="n">
        <x:v>13</x:v>
      </x:c>
      <x:c r="B105" s="2" t="str">
        <x:v>Sofía Montalvo</x:v>
      </x:c>
      <x:c r="C105" s="22" t="str">
        <x:v>c91ad187-0977-5b56-a1d9-669ba07da26d</x:v>
      </x:c>
      <x:c r="D105" s="22" t="str">
        <x:v>Gestión de releases</x:v>
      </x:c>
      <x:c r="E105" s="22" t="n">
        <x:v>5</x:v>
      </x:c>
      <x:c r="F105" s="19" t="str">
        <x:v>NO_EVALUADA</x:v>
      </x:c>
      <x:c r="G105" s="19" t="str">
        <x:v>Pendiente de evaluación práctica independiente.</x:v>
      </x:c>
      <x:c r="H105" s="19" t="str">
        <x:v>Evaluación y artefacto reproducible pendientes.</x:v>
      </x:c>
    </x:row>
    <x:row r="106" ht="42" customHeight="1">
      <x:c r="A106" s="16" t="n">
        <x:v>13</x:v>
      </x:c>
      <x:c r="B106" s="16" t="str">
        <x:v>Sofía Montalvo</x:v>
      </x:c>
      <x:c r="C106" s="21" t="str">
        <x:v>d4aa5146-7b68-5971-b172-7c9aab908cf1</x:v>
      </x:c>
      <x:c r="D106" s="21" t="str">
        <x:v>Control de versiones</x:v>
      </x:c>
      <x:c r="E106" s="21" t="n">
        <x:v>5</x:v>
      </x:c>
      <x:c r="F106" s="19" t="str">
        <x:v>NO_EVALUADA</x:v>
      </x:c>
      <x:c r="G106" s="19" t="str">
        <x:v>Pendiente de evaluación práctica independiente.</x:v>
      </x:c>
      <x:c r="H106" s="19" t="str">
        <x:v>Evaluación y artefacto reproducible pendientes.</x:v>
      </x:c>
    </x:row>
    <x:row r="107" ht="42" customHeight="1">
      <x:c r="A107" s="2" t="n">
        <x:v>13</x:v>
      </x:c>
      <x:c r="B107" s="2" t="str">
        <x:v>Sofía Montalvo</x:v>
      </x:c>
      <x:c r="C107" s="22" t="str">
        <x:v>aebf893b-a31e-560e-8393-94a59de4904d</x:v>
      </x:c>
      <x:c r="D107" s="22" t="str">
        <x:v>Integración continua</x:v>
      </x:c>
      <x:c r="E107" s="22" t="n">
        <x:v>5</x:v>
      </x:c>
      <x:c r="F107" s="19" t="str">
        <x:v>NO_EVALUADA</x:v>
      </x:c>
      <x:c r="G107" s="19" t="str">
        <x:v>Pendiente de evaluación práctica independiente.</x:v>
      </x:c>
      <x:c r="H107" s="19" t="str">
        <x:v>Evaluación y artefacto reproducible pendientes.</x:v>
      </x:c>
    </x:row>
    <x:row r="108" ht="42" customHeight="1">
      <x:c r="A108" s="16" t="n">
        <x:v>13</x:v>
      </x:c>
      <x:c r="B108" s="16" t="str">
        <x:v>Sofía Montalvo</x:v>
      </x:c>
      <x:c r="C108" s="21" t="str">
        <x:v>846fa049-d431-5fee-b9ee-5d81bab36b22</x:v>
      </x:c>
      <x:c r="D108" s="21" t="str">
        <x:v>Rollback</x:v>
      </x:c>
      <x:c r="E108" s="21" t="n">
        <x:v>5</x:v>
      </x:c>
      <x:c r="F108" s="19" t="str">
        <x:v>NO_EVALUADA</x:v>
      </x:c>
      <x:c r="G108" s="19" t="str">
        <x:v>Pendiente de evaluación práctica independiente.</x:v>
      </x:c>
      <x:c r="H108" s="19" t="str">
        <x:v>Evaluación y artefacto reproducible pendientes.</x:v>
      </x:c>
    </x:row>
    <x:row r="109" ht="42" customHeight="1">
      <x:c r="A109" s="2" t="n">
        <x:v>13</x:v>
      </x:c>
      <x:c r="B109" s="2" t="str">
        <x:v>Sofía Montalvo</x:v>
      </x:c>
      <x:c r="C109" s="22" t="str">
        <x:v>8f84f6cf-d4b7-5f4a-9aeb-a30f105a19bb</x:v>
      </x:c>
      <x:c r="D109" s="22" t="str">
        <x:v>Verificación de despliegue</x:v>
      </x:c>
      <x:c r="E109" s="22" t="n">
        <x:v>5</x:v>
      </x:c>
      <x:c r="F109" s="19" t="str">
        <x:v>NO_EVALUADA</x:v>
      </x:c>
      <x:c r="G109" s="19" t="str">
        <x:v>Pendiente de evaluación práctica independiente.</x:v>
      </x:c>
      <x:c r="H109" s="19" t="str">
        <x:v>Evaluación y artefacto reproducible pendientes.</x:v>
      </x:c>
    </x:row>
    <x:row r="110" ht="42" customHeight="1">
      <x:c r="A110" s="16" t="n">
        <x:v>13</x:v>
      </x:c>
      <x:c r="B110" s="16" t="str">
        <x:v>Sofía Montalvo</x:v>
      </x:c>
      <x:c r="C110" s="21" t="str">
        <x:v>6531302e-9901-547a-bc84-fd5205e287bc</x:v>
      </x:c>
      <x:c r="D110" s="21" t="str">
        <x:v>Gestión de mandatos</x:v>
      </x:c>
      <x:c r="E110" s="21" t="n">
        <x:v>5</x:v>
      </x:c>
      <x:c r="F110" s="19" t="str">
        <x:v>NO_EVALUADA</x:v>
      </x:c>
      <x:c r="G110" s="19" t="str">
        <x:v>Pendiente de evaluación práctica independiente.</x:v>
      </x:c>
      <x:c r="H110" s="19" t="str">
        <x:v>Evaluación y artefacto reproducible pendientes.</x:v>
      </x:c>
    </x:row>
    <x:row r="111" ht="42" customHeight="1">
      <x:c r="A111" s="2" t="n">
        <x:v>13</x:v>
      </x:c>
      <x:c r="B111" s="2" t="str">
        <x:v>Sofía Montalvo</x:v>
      </x:c>
      <x:c r="C111" s="22" t="str">
        <x:v>edd544b1-1e79-5fcf-8288-c1ff88e004ef</x:v>
      </x:c>
      <x:c r="D111" s="22" t="str">
        <x:v>Trazabilidad de evidencia</x:v>
      </x:c>
      <x:c r="E111" s="22" t="n">
        <x:v>5</x:v>
      </x:c>
      <x:c r="F111" s="19" t="str">
        <x:v>NO_EVALUADA</x:v>
      </x:c>
      <x:c r="G111" s="19" t="str">
        <x:v>Pendiente de evaluación práctica independiente.</x:v>
      </x:c>
      <x:c r="H111" s="19" t="str">
        <x:v>Evaluación y artefacto reproducible pendientes.</x:v>
      </x:c>
    </x:row>
    <x:row r="112" ht="42" customHeight="1">
      <x:c r="A112" s="16" t="n">
        <x:v>13</x:v>
      </x:c>
      <x:c r="B112" s="16" t="str">
        <x:v>Sofía Montalvo</x:v>
      </x:c>
      <x:c r="C112" s="21" t="str">
        <x:v>c9125256-8d9d-5e0e-aaa3-2578149f9395</x:v>
      </x:c>
      <x:c r="D112" s="21" t="str">
        <x:v>Gestión de errores</x:v>
      </x:c>
      <x:c r="E112" s="21" t="n">
        <x:v>5</x:v>
      </x:c>
      <x:c r="F112" s="19" t="str">
        <x:v>NO_EVALUADA</x:v>
      </x:c>
      <x:c r="G112" s="19" t="str">
        <x:v>Pendiente de evaluación práctica independiente.</x:v>
      </x:c>
      <x:c r="H112" s="19" t="str">
        <x:v>Evaluación y artefacto reproducible pendientes.</x:v>
      </x:c>
    </x:row>
    <x:row r="113" ht="42" customHeight="1">
      <x:c r="A113" s="2" t="n">
        <x:v>14</x:v>
      </x:c>
      <x:c r="B113" s="2" t="str">
        <x:v>Adriana Soler</x:v>
      </x:c>
      <x:c r="C113" s="22" t="str">
        <x:v>1ce836c7-1273-5826-8e77-7cacbb84cb39</x:v>
      </x:c>
      <x:c r="D113" s="22" t="str">
        <x:v>Modelado de datos</x:v>
      </x:c>
      <x:c r="E113" s="22" t="n">
        <x:v>5</x:v>
      </x:c>
      <x:c r="F113" s="19" t="str">
        <x:v>NO_EVALUADA</x:v>
      </x:c>
      <x:c r="G113" s="19" t="str">
        <x:v>Pendiente de evaluación práctica independiente.</x:v>
      </x:c>
      <x:c r="H113" s="19" t="str">
        <x:v>Evaluación y artefacto reproducible pendientes.</x:v>
      </x:c>
    </x:row>
    <x:row r="114" ht="42" customHeight="1">
      <x:c r="A114" s="16" t="n">
        <x:v>14</x:v>
      </x:c>
      <x:c r="B114" s="16" t="str">
        <x:v>Adriana Soler</x:v>
      </x:c>
      <x:c r="C114" s="21" t="str">
        <x:v>1a444460-53ea-59cb-b071-cf5836cc93b9</x:v>
      </x:c>
      <x:c r="D114" s="21" t="str">
        <x:v>Migraciones</x:v>
      </x:c>
      <x:c r="E114" s="21" t="n">
        <x:v>5</x:v>
      </x:c>
      <x:c r="F114" s="19" t="str">
        <x:v>NO_EVALUADA</x:v>
      </x:c>
      <x:c r="G114" s="19" t="str">
        <x:v>Pendiente de evaluación práctica independiente.</x:v>
      </x:c>
      <x:c r="H114" s="19" t="str">
        <x:v>Evaluación y artefacto reproducible pendientes.</x:v>
      </x:c>
    </x:row>
    <x:row r="115" ht="42" customHeight="1">
      <x:c r="A115" s="2" t="n">
        <x:v>14</x:v>
      </x:c>
      <x:c r="B115" s="2" t="str">
        <x:v>Adriana Soler</x:v>
      </x:c>
      <x:c r="C115" s="22" t="str">
        <x:v>fd6383cc-d3bd-533b-9ca3-6bc625af53f0</x:v>
      </x:c>
      <x:c r="D115" s="22" t="str">
        <x:v>Calidad de datos</x:v>
      </x:c>
      <x:c r="E115" s="22" t="n">
        <x:v>5</x:v>
      </x:c>
      <x:c r="F115" s="19" t="str">
        <x:v>NO_EVALUADA</x:v>
      </x:c>
      <x:c r="G115" s="19" t="str">
        <x:v>Pendiente de evaluación práctica independiente.</x:v>
      </x:c>
      <x:c r="H115" s="19" t="str">
        <x:v>Evaluación y artefacto reproducible pendientes.</x:v>
      </x:c>
    </x:row>
    <x:row r="116" ht="42" customHeight="1">
      <x:c r="A116" s="16" t="n">
        <x:v>14</x:v>
      </x:c>
      <x:c r="B116" s="16" t="str">
        <x:v>Adriana Soler</x:v>
      </x:c>
      <x:c r="C116" s="21" t="str">
        <x:v>963555e3-2c14-5478-ac44-42efb5831990</x:v>
      </x:c>
      <x:c r="D116" s="21" t="str">
        <x:v>Precisión numérica</x:v>
      </x:c>
      <x:c r="E116" s="21" t="n">
        <x:v>5</x:v>
      </x:c>
      <x:c r="F116" s="19" t="str">
        <x:v>NO_EVALUADA</x:v>
      </x:c>
      <x:c r="G116" s="19" t="str">
        <x:v>Pendiente de evaluación práctica independiente.</x:v>
      </x:c>
      <x:c r="H116" s="19" t="str">
        <x:v>Evaluación y artefacto reproducible pendientes.</x:v>
      </x:c>
    </x:row>
    <x:row r="117" ht="42" customHeight="1">
      <x:c r="A117" s="2" t="n">
        <x:v>14</x:v>
      </x:c>
      <x:c r="B117" s="2" t="str">
        <x:v>Adriana Soler</x:v>
      </x:c>
      <x:c r="C117" s="22" t="str">
        <x:v>43abe2b4-f748-53e0-9f99-2643de330a61</x:v>
      </x:c>
      <x:c r="D117" s="22" t="str">
        <x:v>Proveniencia de datos</x:v>
      </x:c>
      <x:c r="E117" s="22" t="n">
        <x:v>5</x:v>
      </x:c>
      <x:c r="F117" s="19" t="str">
        <x:v>NO_EVALUADA</x:v>
      </x:c>
      <x:c r="G117" s="19" t="str">
        <x:v>Pendiente de evaluación práctica independiente.</x:v>
      </x:c>
      <x:c r="H117" s="19" t="str">
        <x:v>Evaluación y artefacto reproducible pendientes.</x:v>
      </x:c>
    </x:row>
    <x:row r="118" ht="42" customHeight="1">
      <x:c r="A118" s="16" t="n">
        <x:v>14</x:v>
      </x:c>
      <x:c r="B118" s="16" t="str">
        <x:v>Adriana Soler</x:v>
      </x:c>
      <x:c r="C118" s="21" t="str">
        <x:v>6531302e-9901-547a-bc84-fd5205e287bc</x:v>
      </x:c>
      <x:c r="D118" s="21" t="str">
        <x:v>Gestión de mandatos</x:v>
      </x:c>
      <x:c r="E118" s="21" t="n">
        <x:v>5</x:v>
      </x:c>
      <x:c r="F118" s="19" t="str">
        <x:v>NO_EVALUADA</x:v>
      </x:c>
      <x:c r="G118" s="19" t="str">
        <x:v>Pendiente de evaluación práctica independiente.</x:v>
      </x:c>
      <x:c r="H118" s="19" t="str">
        <x:v>Evaluación y artefacto reproducible pendientes.</x:v>
      </x:c>
    </x:row>
    <x:row r="119" ht="42" customHeight="1">
      <x:c r="A119" s="2" t="n">
        <x:v>14</x:v>
      </x:c>
      <x:c r="B119" s="2" t="str">
        <x:v>Adriana Soler</x:v>
      </x:c>
      <x:c r="C119" s="22" t="str">
        <x:v>edd544b1-1e79-5fcf-8288-c1ff88e004ef</x:v>
      </x:c>
      <x:c r="D119" s="22" t="str">
        <x:v>Trazabilidad de evidencia</x:v>
      </x:c>
      <x:c r="E119" s="22" t="n">
        <x:v>5</x:v>
      </x:c>
      <x:c r="F119" s="19" t="str">
        <x:v>NO_EVALUADA</x:v>
      </x:c>
      <x:c r="G119" s="19" t="str">
        <x:v>Pendiente de evaluación práctica independiente.</x:v>
      </x:c>
      <x:c r="H119" s="19" t="str">
        <x:v>Evaluación y artefacto reproducible pendientes.</x:v>
      </x:c>
    </x:row>
    <x:row r="120" ht="42" customHeight="1">
      <x:c r="A120" s="16" t="n">
        <x:v>14</x:v>
      </x:c>
      <x:c r="B120" s="16" t="str">
        <x:v>Adriana Soler</x:v>
      </x:c>
      <x:c r="C120" s="21" t="str">
        <x:v>c9125256-8d9d-5e0e-aaa3-2578149f9395</x:v>
      </x:c>
      <x:c r="D120" s="21" t="str">
        <x:v>Gestión de errores</x:v>
      </x:c>
      <x:c r="E120" s="21" t="n">
        <x:v>5</x:v>
      </x:c>
      <x:c r="F120" s="19" t="str">
        <x:v>NO_EVALUADA</x:v>
      </x:c>
      <x:c r="G120" s="19" t="str">
        <x:v>Pendiente de evaluación práctica independiente.</x:v>
      </x:c>
      <x:c r="H120" s="19" t="str">
        <x:v>Evaluación y artefacto reproducible pendientes.</x:v>
      </x:c>
    </x:row>
    <x:row r="121" ht="42" customHeight="1">
      <x:c r="A121" s="2" t="n">
        <x:v>15</x:v>
      </x:c>
      <x:c r="B121" s="2" t="str">
        <x:v>Tomás Aranda</x:v>
      </x:c>
      <x:c r="C121" s="22" t="str">
        <x:v>3bfa63d3-97b7-540b-acc5-6e793a60f0f7</x:v>
      </x:c>
      <x:c r="D121" s="22" t="str">
        <x:v>Integraciones externas</x:v>
      </x:c>
      <x:c r="E121" s="22" t="n">
        <x:v>5</x:v>
      </x:c>
      <x:c r="F121" s="19" t="str">
        <x:v>NO_EVALUADA</x:v>
      </x:c>
      <x:c r="G121" s="19" t="str">
        <x:v>Pendiente de evaluación práctica independiente.</x:v>
      </x:c>
      <x:c r="H121" s="19" t="str">
        <x:v>Evaluación y artefacto reproducible pendientes.</x:v>
      </x:c>
    </x:row>
    <x:row r="122" ht="42" customHeight="1">
      <x:c r="A122" s="16" t="n">
        <x:v>15</x:v>
      </x:c>
      <x:c r="B122" s="16" t="str">
        <x:v>Tomás Aranda</x:v>
      </x:c>
      <x:c r="C122" s="21" t="str">
        <x:v>1612b603-5b00-5126-9e0b-e53950baf49e</x:v>
      </x:c>
      <x:c r="D122" s="21" t="str">
        <x:v>Contratos API</x:v>
      </x:c>
      <x:c r="E122" s="21" t="n">
        <x:v>5</x:v>
      </x:c>
      <x:c r="F122" s="19" t="str">
        <x:v>NO_EVALUADA</x:v>
      </x:c>
      <x:c r="G122" s="19" t="str">
        <x:v>Pendiente de evaluación práctica independiente.</x:v>
      </x:c>
      <x:c r="H122" s="19" t="str">
        <x:v>Evaluación y artefacto reproducible pendientes.</x:v>
      </x:c>
    </x:row>
    <x:row r="123" ht="42" customHeight="1">
      <x:c r="A123" s="2" t="n">
        <x:v>15</x:v>
      </x:c>
      <x:c r="B123" s="2" t="str">
        <x:v>Tomás Aranda</x:v>
      </x:c>
      <x:c r="C123" s="22" t="str">
        <x:v>6637d5c1-2ce8-5117-9649-6cdb3f7cda02</x:v>
      </x:c>
      <x:c r="D123" s="22" t="str">
        <x:v>Límites y cuotas</x:v>
      </x:c>
      <x:c r="E123" s="22" t="n">
        <x:v>5</x:v>
      </x:c>
      <x:c r="F123" s="19" t="str">
        <x:v>NO_EVALUADA</x:v>
      </x:c>
      <x:c r="G123" s="19" t="str">
        <x:v>Pendiente de evaluación práctica independiente.</x:v>
      </x:c>
      <x:c r="H123" s="19" t="str">
        <x:v>Evaluación y artefacto reproducible pendientes.</x:v>
      </x:c>
    </x:row>
    <x:row r="124" ht="42" customHeight="1">
      <x:c r="A124" s="16" t="n">
        <x:v>15</x:v>
      </x:c>
      <x:c r="B124" s="16" t="str">
        <x:v>Tomás Aranda</x:v>
      </x:c>
      <x:c r="C124" s="21" t="str">
        <x:v>ad1d9b9e-0cfb-5c3b-904e-a556d00f2e28</x:v>
      </x:c>
      <x:c r="D124" s="21" t="str">
        <x:v>Reintentos seguros</x:v>
      </x:c>
      <x:c r="E124" s="21" t="n">
        <x:v>5</x:v>
      </x:c>
      <x:c r="F124" s="19" t="str">
        <x:v>NO_EVALUADA</x:v>
      </x:c>
      <x:c r="G124" s="19" t="str">
        <x:v>Pendiente de evaluación práctica independiente.</x:v>
      </x:c>
      <x:c r="H124" s="19" t="str">
        <x:v>Evaluación y artefacto reproducible pendientes.</x:v>
      </x:c>
    </x:row>
    <x:row r="125" ht="42" customHeight="1">
      <x:c r="A125" s="2" t="n">
        <x:v>15</x:v>
      </x:c>
      <x:c r="B125" s="2" t="str">
        <x:v>Tomás Aranda</x:v>
      </x:c>
      <x:c r="C125" s="22" t="str">
        <x:v>0256d4bb-84ed-5c63-95a4-600ca7cb8a8a</x:v>
      </x:c>
      <x:c r="D125" s="22" t="str">
        <x:v>Pruebas de contrato</x:v>
      </x:c>
      <x:c r="E125" s="22" t="n">
        <x:v>5</x:v>
      </x:c>
      <x:c r="F125" s="19" t="str">
        <x:v>NO_EVALUADA</x:v>
      </x:c>
      <x:c r="G125" s="19" t="str">
        <x:v>Pendiente de evaluación práctica independiente.</x:v>
      </x:c>
      <x:c r="H125" s="19" t="str">
        <x:v>Evaluación y artefacto reproducible pendientes.</x:v>
      </x:c>
    </x:row>
    <x:row r="126" ht="42" customHeight="1">
      <x:c r="A126" s="16" t="n">
        <x:v>15</x:v>
      </x:c>
      <x:c r="B126" s="16" t="str">
        <x:v>Tomás Aranda</x:v>
      </x:c>
      <x:c r="C126" s="21" t="str">
        <x:v>6531302e-9901-547a-bc84-fd5205e287bc</x:v>
      </x:c>
      <x:c r="D126" s="21" t="str">
        <x:v>Gestión de mandatos</x:v>
      </x:c>
      <x:c r="E126" s="21" t="n">
        <x:v>5</x:v>
      </x:c>
      <x:c r="F126" s="19" t="str">
        <x:v>NO_EVALUADA</x:v>
      </x:c>
      <x:c r="G126" s="19" t="str">
        <x:v>Pendiente de evaluación práctica independiente.</x:v>
      </x:c>
      <x:c r="H126" s="19" t="str">
        <x:v>Evaluación y artefacto reproducible pendientes.</x:v>
      </x:c>
    </x:row>
    <x:row r="127" ht="42" customHeight="1">
      <x:c r="A127" s="2" t="n">
        <x:v>15</x:v>
      </x:c>
      <x:c r="B127" s="2" t="str">
        <x:v>Tomás Aranda</x:v>
      </x:c>
      <x:c r="C127" s="22" t="str">
        <x:v>edd544b1-1e79-5fcf-8288-c1ff88e004ef</x:v>
      </x:c>
      <x:c r="D127" s="22" t="str">
        <x:v>Trazabilidad de evidencia</x:v>
      </x:c>
      <x:c r="E127" s="22" t="n">
        <x:v>5</x:v>
      </x:c>
      <x:c r="F127" s="19" t="str">
        <x:v>NO_EVALUADA</x:v>
      </x:c>
      <x:c r="G127" s="19" t="str">
        <x:v>Pendiente de evaluación práctica independiente.</x:v>
      </x:c>
      <x:c r="H127" s="19" t="str">
        <x:v>Evaluación y artefacto reproducible pendientes.</x:v>
      </x:c>
    </x:row>
    <x:row r="128" ht="42" customHeight="1">
      <x:c r="A128" s="16" t="n">
        <x:v>15</x:v>
      </x:c>
      <x:c r="B128" s="16" t="str">
        <x:v>Tomás Aranda</x:v>
      </x:c>
      <x:c r="C128" s="21" t="str">
        <x:v>c9125256-8d9d-5e0e-aaa3-2578149f9395</x:v>
      </x:c>
      <x:c r="D128" s="21" t="str">
        <x:v>Gestión de errores</x:v>
      </x:c>
      <x:c r="E128" s="21" t="n">
        <x:v>5</x:v>
      </x:c>
      <x:c r="F128" s="19" t="str">
        <x:v>NO_EVALUADA</x:v>
      </x:c>
      <x:c r="G128" s="19" t="str">
        <x:v>Pendiente de evaluación práctica independiente.</x:v>
      </x:c>
      <x:c r="H128" s="19" t="str">
        <x:v>Evaluación y artefacto reproducible pendientes.</x:v>
      </x:c>
    </x:row>
    <x:row r="129" ht="42" customHeight="1">
      <x:c r="A129" s="2" t="n">
        <x:v>16</x:v>
      </x:c>
      <x:c r="B129" s="2" t="str">
        <x:v>Diego Cárdenas</x:v>
      </x:c>
      <x:c r="C129" s="22" t="str">
        <x:v>f1ae1731-5391-5c52-a03f-69a2bc423722</x:v>
      </x:c>
      <x:c r="D129" s="22" t="str">
        <x:v>Contratos inteligentes</x:v>
      </x:c>
      <x:c r="E129" s="22" t="n">
        <x:v>5</x:v>
      </x:c>
      <x:c r="F129" s="19" t="str">
        <x:v>NO_EVALUADA</x:v>
      </x:c>
      <x:c r="G129" s="19" t="str">
        <x:v>Pendiente de evaluación práctica independiente.</x:v>
      </x:c>
      <x:c r="H129" s="19" t="str">
        <x:v>Evaluación y artefacto reproducible pendientes.</x:v>
      </x:c>
    </x:row>
    <x:row r="130" ht="42" customHeight="1">
      <x:c r="A130" s="16" t="n">
        <x:v>16</x:v>
      </x:c>
      <x:c r="B130" s="16" t="str">
        <x:v>Diego Cárdenas</x:v>
      </x:c>
      <x:c r="C130" s="21" t="str">
        <x:v>12d9578d-7611-5700-80b8-f86972f51cc0</x:v>
      </x:c>
      <x:c r="D130" s="21" t="str">
        <x:v>Atomicidad</x:v>
      </x:c>
      <x:c r="E130" s="21" t="n">
        <x:v>5</x:v>
      </x:c>
      <x:c r="F130" s="19" t="str">
        <x:v>NO_EVALUADA</x:v>
      </x:c>
      <x:c r="G130" s="19" t="str">
        <x:v>Pendiente de evaluación práctica independiente.</x:v>
      </x:c>
      <x:c r="H130" s="19" t="str">
        <x:v>Evaluación y artefacto reproducible pendientes.</x:v>
      </x:c>
    </x:row>
    <x:row r="131" ht="42" customHeight="1">
      <x:c r="A131" s="2" t="n">
        <x:v>16</x:v>
      </x:c>
      <x:c r="B131" s="2" t="str">
        <x:v>Diego Cárdenas</x:v>
      </x:c>
      <x:c r="C131" s="22" t="str">
        <x:v>86a470db-0160-5278-a614-41068d45f73f</x:v>
      </x:c>
      <x:c r="D131" s="22" t="str">
        <x:v>Máquinas de estado</x:v>
      </x:c>
      <x:c r="E131" s="22" t="n">
        <x:v>5</x:v>
      </x:c>
      <x:c r="F131" s="19" t="str">
        <x:v>NO_EVALUADA</x:v>
      </x:c>
      <x:c r="G131" s="19" t="str">
        <x:v>Pendiente de evaluación práctica independiente.</x:v>
      </x:c>
      <x:c r="H131" s="19" t="str">
        <x:v>Evaluación y artefacto reproducible pendientes.</x:v>
      </x:c>
    </x:row>
    <x:row r="132" ht="42" customHeight="1">
      <x:c r="A132" s="16" t="n">
        <x:v>16</x:v>
      </x:c>
      <x:c r="B132" s="16" t="str">
        <x:v>Diego Cárdenas</x:v>
      </x:c>
      <x:c r="C132" s="21" t="str">
        <x:v>81584bf6-e593-58a7-b944-ca991c7acd4b</x:v>
      </x:c>
      <x:c r="D132" s="21" t="str">
        <x:v>Análisis estático</x:v>
      </x:c>
      <x:c r="E132" s="21" t="n">
        <x:v>5</x:v>
      </x:c>
      <x:c r="F132" s="19" t="str">
        <x:v>NO_EVALUADA</x:v>
      </x:c>
      <x:c r="G132" s="19" t="str">
        <x:v>Pendiente de evaluación práctica independiente.</x:v>
      </x:c>
      <x:c r="H132" s="19" t="str">
        <x:v>Evaluación y artefacto reproducible pendientes.</x:v>
      </x:c>
    </x:row>
    <x:row r="133" ht="42" customHeight="1">
      <x:c r="A133" s="2" t="n">
        <x:v>16</x:v>
      </x:c>
      <x:c r="B133" s="2" t="str">
        <x:v>Diego Cárdenas</x:v>
      </x:c>
      <x:c r="C133" s="22" t="str">
        <x:v>f3c8196a-f80b-5461-80fc-27ad2e6a7e99</x:v>
      </x:c>
      <x:c r="D133" s="22" t="str">
        <x:v>Pruebas de propiedades</x:v>
      </x:c>
      <x:c r="E133" s="22" t="n">
        <x:v>5</x:v>
      </x:c>
      <x:c r="F133" s="19" t="str">
        <x:v>NO_EVALUADA</x:v>
      </x:c>
      <x:c r="G133" s="19" t="str">
        <x:v>Pendiente de evaluación práctica independiente.</x:v>
      </x:c>
      <x:c r="H133" s="19" t="str">
        <x:v>Evaluación y artefacto reproducible pendientes.</x:v>
      </x:c>
    </x:row>
    <x:row r="134" ht="42" customHeight="1">
      <x:c r="A134" s="16" t="n">
        <x:v>16</x:v>
      </x:c>
      <x:c r="B134" s="16" t="str">
        <x:v>Diego Cárdenas</x:v>
      </x:c>
      <x:c r="C134" s="21" t="str">
        <x:v>6531302e-9901-547a-bc84-fd5205e287bc</x:v>
      </x:c>
      <x:c r="D134" s="21" t="str">
        <x:v>Gestión de mandatos</x:v>
      </x:c>
      <x:c r="E134" s="21" t="n">
        <x:v>5</x:v>
      </x:c>
      <x:c r="F134" s="19" t="str">
        <x:v>NO_EVALUADA</x:v>
      </x:c>
      <x:c r="G134" s="19" t="str">
        <x:v>Pendiente de evaluación práctica independiente.</x:v>
      </x:c>
      <x:c r="H134" s="19" t="str">
        <x:v>Evaluación y artefacto reproducible pendientes.</x:v>
      </x:c>
    </x:row>
    <x:row r="135" ht="42" customHeight="1">
      <x:c r="A135" s="2" t="n">
        <x:v>16</x:v>
      </x:c>
      <x:c r="B135" s="2" t="str">
        <x:v>Diego Cárdenas</x:v>
      </x:c>
      <x:c r="C135" s="22" t="str">
        <x:v>edd544b1-1e79-5fcf-8288-c1ff88e004ef</x:v>
      </x:c>
      <x:c r="D135" s="22" t="str">
        <x:v>Trazabilidad de evidencia</x:v>
      </x:c>
      <x:c r="E135" s="22" t="n">
        <x:v>5</x:v>
      </x:c>
      <x:c r="F135" s="19" t="str">
        <x:v>NO_EVALUADA</x:v>
      </x:c>
      <x:c r="G135" s="19" t="str">
        <x:v>Pendiente de evaluación práctica independiente.</x:v>
      </x:c>
      <x:c r="H135" s="19" t="str">
        <x:v>Evaluación y artefacto reproducible pendientes.</x:v>
      </x:c>
    </x:row>
    <x:row r="136" ht="42" customHeight="1">
      <x:c r="A136" s="16" t="n">
        <x:v>16</x:v>
      </x:c>
      <x:c r="B136" s="16" t="str">
        <x:v>Diego Cárdenas</x:v>
      </x:c>
      <x:c r="C136" s="21" t="str">
        <x:v>c9125256-8d9d-5e0e-aaa3-2578149f9395</x:v>
      </x:c>
      <x:c r="D136" s="21" t="str">
        <x:v>Gestión de errores</x:v>
      </x:c>
      <x:c r="E136" s="21" t="n">
        <x:v>5</x:v>
      </x:c>
      <x:c r="F136" s="19" t="str">
        <x:v>NO_EVALUADA</x:v>
      </x:c>
      <x:c r="G136" s="19" t="str">
        <x:v>Pendiente de evaluación práctica independiente.</x:v>
      </x:c>
      <x:c r="H136" s="19" t="str">
        <x:v>Evaluación y artefacto reproducible pendientes.</x:v>
      </x:c>
    </x:row>
    <x:row r="137" ht="42" customHeight="1">
      <x:c r="A137" s="2" t="n">
        <x:v>17</x:v>
      </x:c>
      <x:c r="B137" s="2" t="str">
        <x:v>Clara Beltrán</x:v>
      </x:c>
      <x:c r="C137" s="22" t="str">
        <x:v>2bba3ca1-4375-5295-9142-7466a6567859</x:v>
      </x:c>
      <x:c r="D137" s="22" t="str">
        <x:v>Validación matemática</x:v>
      </x:c>
      <x:c r="E137" s="22" t="n">
        <x:v>5</x:v>
      </x:c>
      <x:c r="F137" s="19" t="str">
        <x:v>NO_EVALUADA</x:v>
      </x:c>
      <x:c r="G137" s="19" t="str">
        <x:v>Pendiente de evaluación práctica independiente.</x:v>
      </x:c>
      <x:c r="H137" s="19" t="str">
        <x:v>Evaluación y artefacto reproducible pendientes.</x:v>
      </x:c>
    </x:row>
    <x:row r="138" ht="42" customHeight="1">
      <x:c r="A138" s="16" t="n">
        <x:v>17</x:v>
      </x:c>
      <x:c r="B138" s="16" t="str">
        <x:v>Clara Beltrán</x:v>
      </x:c>
      <x:c r="C138" s="21" t="str">
        <x:v>73e7eed3-d208-57e6-9739-2e1c043bc759</x:v>
      </x:c>
      <x:c r="D138" s="21" t="str">
        <x:v>Análisis dimensional</x:v>
      </x:c>
      <x:c r="E138" s="21" t="n">
        <x:v>5</x:v>
      </x:c>
      <x:c r="F138" s="19" t="str">
        <x:v>NO_EVALUADA</x:v>
      </x:c>
      <x:c r="G138" s="19" t="str">
        <x:v>Pendiente de evaluación práctica independiente.</x:v>
      </x:c>
      <x:c r="H138" s="19" t="str">
        <x:v>Evaluación y artefacto reproducible pendientes.</x:v>
      </x:c>
    </x:row>
    <x:row r="139" ht="42" customHeight="1">
      <x:c r="A139" s="2" t="n">
        <x:v>17</x:v>
      </x:c>
      <x:c r="B139" s="2" t="str">
        <x:v>Clara Beltrán</x:v>
      </x:c>
      <x:c r="C139" s="22" t="str">
        <x:v>5e3ef7a0-cdd6-5ea9-85e0-9e8a0eb98723</x:v>
      </x:c>
      <x:c r="D139" s="22" t="str">
        <x:v>Estadística</x:v>
      </x:c>
      <x:c r="E139" s="22" t="n">
        <x:v>5</x:v>
      </x:c>
      <x:c r="F139" s="19" t="str">
        <x:v>NO_EVALUADA</x:v>
      </x:c>
      <x:c r="G139" s="19" t="str">
        <x:v>Pendiente de evaluación práctica independiente.</x:v>
      </x:c>
      <x:c r="H139" s="19" t="str">
        <x:v>Evaluación y artefacto reproducible pendientes.</x:v>
      </x:c>
    </x:row>
    <x:row r="140" ht="42" customHeight="1">
      <x:c r="A140" s="16" t="n">
        <x:v>17</x:v>
      </x:c>
      <x:c r="B140" s="16" t="str">
        <x:v>Clara Beltrán</x:v>
      </x:c>
      <x:c r="C140" s="21" t="str">
        <x:v>9f79a24a-7639-5400-a902-7a40d64bb98c</x:v>
      </x:c>
      <x:c r="D140" s="21" t="str">
        <x:v>Optimización</x:v>
      </x:c>
      <x:c r="E140" s="21" t="n">
        <x:v>5</x:v>
      </x:c>
      <x:c r="F140" s="19" t="str">
        <x:v>NO_EVALUADA</x:v>
      </x:c>
      <x:c r="G140" s="19" t="str">
        <x:v>Pendiente de evaluación práctica independiente.</x:v>
      </x:c>
      <x:c r="H140" s="19" t="str">
        <x:v>Evaluación y artefacto reproducible pendientes.</x:v>
      </x:c>
    </x:row>
    <x:row r="141" ht="42" customHeight="1">
      <x:c r="A141" s="2" t="n">
        <x:v>17</x:v>
      </x:c>
      <x:c r="B141" s="2" t="str">
        <x:v>Clara Beltrán</x:v>
      </x:c>
      <x:c r="C141" s="22" t="str">
        <x:v>963555e3-2c14-5478-ac44-42efb5831990</x:v>
      </x:c>
      <x:c r="D141" s="22" t="str">
        <x:v>Precisión numérica</x:v>
      </x:c>
      <x:c r="E141" s="22" t="n">
        <x:v>5</x:v>
      </x:c>
      <x:c r="F141" s="19" t="str">
        <x:v>NO_EVALUADA</x:v>
      </x:c>
      <x:c r="G141" s="19" t="str">
        <x:v>Pendiente de evaluación práctica independiente.</x:v>
      </x:c>
      <x:c r="H141" s="19" t="str">
        <x:v>Evaluación y artefacto reproducible pendientes.</x:v>
      </x:c>
    </x:row>
    <x:row r="142" ht="42" customHeight="1">
      <x:c r="A142" s="16" t="n">
        <x:v>17</x:v>
      </x:c>
      <x:c r="B142" s="16" t="str">
        <x:v>Clara Beltrán</x:v>
      </x:c>
      <x:c r="C142" s="21" t="str">
        <x:v>6531302e-9901-547a-bc84-fd5205e287bc</x:v>
      </x:c>
      <x:c r="D142" s="21" t="str">
        <x:v>Gestión de mandatos</x:v>
      </x:c>
      <x:c r="E142" s="21" t="n">
        <x:v>5</x:v>
      </x:c>
      <x:c r="F142" s="19" t="str">
        <x:v>NO_EVALUADA</x:v>
      </x:c>
      <x:c r="G142" s="19" t="str">
        <x:v>Pendiente de evaluación práctica independiente.</x:v>
      </x:c>
      <x:c r="H142" s="19" t="str">
        <x:v>Evaluación y artefacto reproducible pendientes.</x:v>
      </x:c>
    </x:row>
    <x:row r="143" ht="42" customHeight="1">
      <x:c r="A143" s="2" t="n">
        <x:v>17</x:v>
      </x:c>
      <x:c r="B143" s="2" t="str">
        <x:v>Clara Beltrán</x:v>
      </x:c>
      <x:c r="C143" s="22" t="str">
        <x:v>edd544b1-1e79-5fcf-8288-c1ff88e004ef</x:v>
      </x:c>
      <x:c r="D143" s="22" t="str">
        <x:v>Trazabilidad de evidencia</x:v>
      </x:c>
      <x:c r="E143" s="22" t="n">
        <x:v>5</x:v>
      </x:c>
      <x:c r="F143" s="19" t="str">
        <x:v>NO_EVALUADA</x:v>
      </x:c>
      <x:c r="G143" s="19" t="str">
        <x:v>Pendiente de evaluación práctica independiente.</x:v>
      </x:c>
      <x:c r="H143" s="19" t="str">
        <x:v>Evaluación y artefacto reproducible pendientes.</x:v>
      </x:c>
    </x:row>
    <x:row r="144" ht="42" customHeight="1">
      <x:c r="A144" s="16" t="n">
        <x:v>17</x:v>
      </x:c>
      <x:c r="B144" s="16" t="str">
        <x:v>Clara Beltrán</x:v>
      </x:c>
      <x:c r="C144" s="21" t="str">
        <x:v>c9125256-8d9d-5e0e-aaa3-2578149f9395</x:v>
      </x:c>
      <x:c r="D144" s="21" t="str">
        <x:v>Gestión de errores</x:v>
      </x:c>
      <x:c r="E144" s="21" t="n">
        <x:v>5</x:v>
      </x:c>
      <x:c r="F144" s="19" t="str">
        <x:v>NO_EVALUADA</x:v>
      </x:c>
      <x:c r="G144" s="19" t="str">
        <x:v>Pendiente de evaluación práctica independiente.</x:v>
      </x:c>
      <x:c r="H144" s="19" t="str">
        <x:v>Evaluación y artefacto reproducible pendientes.</x:v>
      </x:c>
    </x:row>
    <x:row r="145" ht="42" customHeight="1">
      <x:c r="A145" s="2" t="n">
        <x:v>18</x:v>
      </x:c>
      <x:c r="B145" s="2" t="str">
        <x:v>Marina Duarte</x:v>
      </x:c>
      <x:c r="C145" s="22" t="str">
        <x:v>e863a86f-a5d2-5f42-aebd-3208b80e3bdc</x:v>
      </x:c>
      <x:c r="D145" s="22" t="str">
        <x:v>Algoritmos de grafos</x:v>
      </x:c>
      <x:c r="E145" s="22" t="n">
        <x:v>5</x:v>
      </x:c>
      <x:c r="F145" s="19" t="str">
        <x:v>NO_EVALUADA</x:v>
      </x:c>
      <x:c r="G145" s="19" t="str">
        <x:v>Pendiente de evaluación práctica independiente.</x:v>
      </x:c>
      <x:c r="H145" s="19" t="str">
        <x:v>Evaluación y artefacto reproducible pendientes.</x:v>
      </x:c>
    </x:row>
    <x:row r="146" ht="42" customHeight="1">
      <x:c r="A146" s="16" t="n">
        <x:v>18</x:v>
      </x:c>
      <x:c r="B146" s="16" t="str">
        <x:v>Marina Duarte</x:v>
      </x:c>
      <x:c r="C146" s="21" t="str">
        <x:v>de6b164e-c335-587f-9aef-bb63f3e12c8a</x:v>
      </x:c>
      <x:c r="D146" s="21" t="str">
        <x:v>Búsqueda</x:v>
      </x:c>
      <x:c r="E146" s="21" t="n">
        <x:v>5</x:v>
      </x:c>
      <x:c r="F146" s="19" t="str">
        <x:v>NO_EVALUADA</x:v>
      </x:c>
      <x:c r="G146" s="19" t="str">
        <x:v>Pendiente de evaluación práctica independiente.</x:v>
      </x:c>
      <x:c r="H146" s="19" t="str">
        <x:v>Evaluación y artefacto reproducible pendientes.</x:v>
      </x:c>
    </x:row>
    <x:row r="147" ht="42" customHeight="1">
      <x:c r="A147" s="2" t="n">
        <x:v>18</x:v>
      </x:c>
      <x:c r="B147" s="2" t="str">
        <x:v>Marina Duarte</x:v>
      </x:c>
      <x:c r="C147" s="22" t="str">
        <x:v>9f79a24a-7639-5400-a902-7a40d64bb98c</x:v>
      </x:c>
      <x:c r="D147" s="22" t="str">
        <x:v>Optimización</x:v>
      </x:c>
      <x:c r="E147" s="22" t="n">
        <x:v>5</x:v>
      </x:c>
      <x:c r="F147" s="19" t="str">
        <x:v>NO_EVALUADA</x:v>
      </x:c>
      <x:c r="G147" s="19" t="str">
        <x:v>Pendiente de evaluación práctica independiente.</x:v>
      </x:c>
      <x:c r="H147" s="19" t="str">
        <x:v>Evaluación y artefacto reproducible pendientes.</x:v>
      </x:c>
    </x:row>
    <x:row r="148" ht="42" customHeight="1">
      <x:c r="A148" s="16" t="n">
        <x:v>18</x:v>
      </x:c>
      <x:c r="B148" s="16" t="str">
        <x:v>Marina Duarte</x:v>
      </x:c>
      <x:c r="C148" s="21" t="str">
        <x:v>bd04b569-9008-5f50-8a10-9a51f9aeb472</x:v>
      </x:c>
      <x:c r="D148" s="21" t="str">
        <x:v>Consistencia de snapshots</x:v>
      </x:c>
      <x:c r="E148" s="21" t="n">
        <x:v>5</x:v>
      </x:c>
      <x:c r="F148" s="19" t="str">
        <x:v>NO_EVALUADA</x:v>
      </x:c>
      <x:c r="G148" s="19" t="str">
        <x:v>Pendiente de evaluación práctica independiente.</x:v>
      </x:c>
      <x:c r="H148" s="19" t="str">
        <x:v>Evaluación y artefacto reproducible pendientes.</x:v>
      </x:c>
    </x:row>
    <x:row r="149" ht="42" customHeight="1">
      <x:c r="A149" s="2" t="n">
        <x:v>18</x:v>
      </x:c>
      <x:c r="B149" s="2" t="str">
        <x:v>Marina Duarte</x:v>
      </x:c>
      <x:c r="C149" s="22" t="str">
        <x:v>f3c8196a-f80b-5461-80fc-27ad2e6a7e99</x:v>
      </x:c>
      <x:c r="D149" s="22" t="str">
        <x:v>Pruebas de propiedades</x:v>
      </x:c>
      <x:c r="E149" s="22" t="n">
        <x:v>5</x:v>
      </x:c>
      <x:c r="F149" s="19" t="str">
        <x:v>NO_EVALUADA</x:v>
      </x:c>
      <x:c r="G149" s="19" t="str">
        <x:v>Pendiente de evaluación práctica independiente.</x:v>
      </x:c>
      <x:c r="H149" s="19" t="str">
        <x:v>Evaluación y artefacto reproducible pendientes.</x:v>
      </x:c>
    </x:row>
    <x:row r="150" ht="42" customHeight="1">
      <x:c r="A150" s="16" t="n">
        <x:v>18</x:v>
      </x:c>
      <x:c r="B150" s="16" t="str">
        <x:v>Marina Duarte</x:v>
      </x:c>
      <x:c r="C150" s="21" t="str">
        <x:v>6531302e-9901-547a-bc84-fd5205e287bc</x:v>
      </x:c>
      <x:c r="D150" s="21" t="str">
        <x:v>Gestión de mandatos</x:v>
      </x:c>
      <x:c r="E150" s="21" t="n">
        <x:v>5</x:v>
      </x:c>
      <x:c r="F150" s="19" t="str">
        <x:v>NO_EVALUADA</x:v>
      </x:c>
      <x:c r="G150" s="19" t="str">
        <x:v>Pendiente de evaluación práctica independiente.</x:v>
      </x:c>
      <x:c r="H150" s="19" t="str">
        <x:v>Evaluación y artefacto reproducible pendientes.</x:v>
      </x:c>
    </x:row>
    <x:row r="151" ht="42" customHeight="1">
      <x:c r="A151" s="2" t="n">
        <x:v>18</x:v>
      </x:c>
      <x:c r="B151" s="2" t="str">
        <x:v>Marina Duarte</x:v>
      </x:c>
      <x:c r="C151" s="22" t="str">
        <x:v>edd544b1-1e79-5fcf-8288-c1ff88e004ef</x:v>
      </x:c>
      <x:c r="D151" s="22" t="str">
        <x:v>Trazabilidad de evidencia</x:v>
      </x:c>
      <x:c r="E151" s="22" t="n">
        <x:v>5</x:v>
      </x:c>
      <x:c r="F151" s="19" t="str">
        <x:v>NO_EVALUADA</x:v>
      </x:c>
      <x:c r="G151" s="19" t="str">
        <x:v>Pendiente de evaluación práctica independiente.</x:v>
      </x:c>
      <x:c r="H151" s="19" t="str">
        <x:v>Evaluación y artefacto reproducible pendientes.</x:v>
      </x:c>
    </x:row>
    <x:row r="152" ht="42" customHeight="1">
      <x:c r="A152" s="16" t="n">
        <x:v>18</x:v>
      </x:c>
      <x:c r="B152" s="16" t="str">
        <x:v>Marina Duarte</x:v>
      </x:c>
      <x:c r="C152" s="21" t="str">
        <x:v>c9125256-8d9d-5e0e-aaa3-2578149f9395</x:v>
      </x:c>
      <x:c r="D152" s="21" t="str">
        <x:v>Gestión de errores</x:v>
      </x:c>
      <x:c r="E152" s="21" t="n">
        <x:v>5</x:v>
      </x:c>
      <x:c r="F152" s="19" t="str">
        <x:v>NO_EVALUADA</x:v>
      </x:c>
      <x:c r="G152" s="19" t="str">
        <x:v>Pendiente de evaluación práctica independiente.</x:v>
      </x:c>
      <x:c r="H152" s="19" t="str">
        <x:v>Evaluación y artefacto reproducible pendientes.</x:v>
      </x:c>
    </x:row>
    <x:row r="153" ht="42" customHeight="1">
      <x:c r="A153" s="2" t="n">
        <x:v>19</x:v>
      </x:c>
      <x:c r="B153" s="2" t="str">
        <x:v>Pablo Alarcón</x:v>
      </x:c>
      <x:c r="C153" s="22" t="str">
        <x:v>5511a2fa-99a4-58aa-9092-7a9541d844e1</x:v>
      </x:c>
      <x:c r="D153" s="22" t="str">
        <x:v>Modelado de escenarios</x:v>
      </x:c>
      <x:c r="E153" s="22" t="n">
        <x:v>5</x:v>
      </x:c>
      <x:c r="F153" s="19" t="str">
        <x:v>NO_EVALUADA</x:v>
      </x:c>
      <x:c r="G153" s="19" t="str">
        <x:v>Pendiente de evaluación práctica independiente.</x:v>
      </x:c>
      <x:c r="H153" s="19" t="str">
        <x:v>Evaluación y artefacto reproducible pendientes.</x:v>
      </x:c>
    </x:row>
    <x:row r="154" ht="42" customHeight="1">
      <x:c r="A154" s="16" t="n">
        <x:v>19</x:v>
      </x:c>
      <x:c r="B154" s="16" t="str">
        <x:v>Pablo Alarcón</x:v>
      </x:c>
      <x:c r="C154" s="21" t="str">
        <x:v>de71fcc1-ede7-5f63-b7d6-79b5d5de4196</x:v>
      </x:c>
      <x:c r="D154" s="21" t="str">
        <x:v>Microestructura de mercados</x:v>
      </x:c>
      <x:c r="E154" s="21" t="n">
        <x:v>5</x:v>
      </x:c>
      <x:c r="F154" s="19" t="str">
        <x:v>NO_EVALUADA</x:v>
      </x:c>
      <x:c r="G154" s="19" t="str">
        <x:v>Pendiente de evaluación práctica independiente.</x:v>
      </x:c>
      <x:c r="H154" s="19" t="str">
        <x:v>Evaluación y artefacto reproducible pendientes.</x:v>
      </x:c>
    </x:row>
    <x:row r="155" ht="42" customHeight="1">
      <x:c r="A155" s="2" t="n">
        <x:v>19</x:v>
      </x:c>
      <x:c r="B155" s="2" t="str">
        <x:v>Pablo Alarcón</x:v>
      </x:c>
      <x:c r="C155" s="22" t="str">
        <x:v>5e3ef7a0-cdd6-5ea9-85e0-9e8a0eb98723</x:v>
      </x:c>
      <x:c r="D155" s="22" t="str">
        <x:v>Estadística</x:v>
      </x:c>
      <x:c r="E155" s="22" t="n">
        <x:v>5</x:v>
      </x:c>
      <x:c r="F155" s="19" t="str">
        <x:v>NO_EVALUADA</x:v>
      </x:c>
      <x:c r="G155" s="19" t="str">
        <x:v>Pendiente de evaluación práctica independiente.</x:v>
      </x:c>
      <x:c r="H155" s="19" t="str">
        <x:v>Evaluación y artefacto reproducible pendientes.</x:v>
      </x:c>
    </x:row>
    <x:row r="156" ht="42" customHeight="1">
      <x:c r="A156" s="16" t="n">
        <x:v>19</x:v>
      </x:c>
      <x:c r="B156" s="16" t="str">
        <x:v>Pablo Alarcón</x:v>
      </x:c>
      <x:c r="C156" s="21" t="str">
        <x:v>e9580793-422c-5b2a-9494-3bd7b74645d3</x:v>
      </x:c>
      <x:c r="D156" s="21" t="str">
        <x:v>Riesgo de inventario</x:v>
      </x:c>
      <x:c r="E156" s="21" t="n">
        <x:v>5</x:v>
      </x:c>
      <x:c r="F156" s="19" t="str">
        <x:v>NO_EVALUADA</x:v>
      </x:c>
      <x:c r="G156" s="19" t="str">
        <x:v>Pendiente de evaluación práctica independiente.</x:v>
      </x:c>
      <x:c r="H156" s="19" t="str">
        <x:v>Evaluación y artefacto reproducible pendientes.</x:v>
      </x:c>
    </x:row>
    <x:row r="157" ht="42" customHeight="1">
      <x:c r="A157" s="2" t="n">
        <x:v>19</x:v>
      </x:c>
      <x:c r="B157" s="2" t="str">
        <x:v>Pablo Alarcón</x:v>
      </x:c>
      <x:c r="C157" s="22" t="str">
        <x:v>6b5e82bb-15a8-5b8b-bf23-ec0fda1a9054</x:v>
      </x:c>
      <x:c r="D157" s="22" t="str">
        <x:v>Análisis de sensibilidad</x:v>
      </x:c>
      <x:c r="E157" s="22" t="n">
        <x:v>5</x:v>
      </x:c>
      <x:c r="F157" s="19" t="str">
        <x:v>NO_EVALUADA</x:v>
      </x:c>
      <x:c r="G157" s="19" t="str">
        <x:v>Pendiente de evaluación práctica independiente.</x:v>
      </x:c>
      <x:c r="H157" s="19" t="str">
        <x:v>Evaluación y artefacto reproducible pendientes.</x:v>
      </x:c>
    </x:row>
    <x:row r="158" ht="42" customHeight="1">
      <x:c r="A158" s="16" t="n">
        <x:v>19</x:v>
      </x:c>
      <x:c r="B158" s="16" t="str">
        <x:v>Pablo Alarcón</x:v>
      </x:c>
      <x:c r="C158" s="21" t="str">
        <x:v>6531302e-9901-547a-bc84-fd5205e287bc</x:v>
      </x:c>
      <x:c r="D158" s="21" t="str">
        <x:v>Gestión de mandatos</x:v>
      </x:c>
      <x:c r="E158" s="21" t="n">
        <x:v>5</x:v>
      </x:c>
      <x:c r="F158" s="19" t="str">
        <x:v>NO_EVALUADA</x:v>
      </x:c>
      <x:c r="G158" s="19" t="str">
        <x:v>Pendiente de evaluación práctica independiente.</x:v>
      </x:c>
      <x:c r="H158" s="19" t="str">
        <x:v>Evaluación y artefacto reproducible pendientes.</x:v>
      </x:c>
    </x:row>
    <x:row r="159" ht="42" customHeight="1">
      <x:c r="A159" s="2" t="n">
        <x:v>19</x:v>
      </x:c>
      <x:c r="B159" s="2" t="str">
        <x:v>Pablo Alarcón</x:v>
      </x:c>
      <x:c r="C159" s="22" t="str">
        <x:v>edd544b1-1e79-5fcf-8288-c1ff88e004ef</x:v>
      </x:c>
      <x:c r="D159" s="22" t="str">
        <x:v>Trazabilidad de evidencia</x:v>
      </x:c>
      <x:c r="E159" s="22" t="n">
        <x:v>5</x:v>
      </x:c>
      <x:c r="F159" s="19" t="str">
        <x:v>NO_EVALUADA</x:v>
      </x:c>
      <x:c r="G159" s="19" t="str">
        <x:v>Pendiente de evaluación práctica independiente.</x:v>
      </x:c>
      <x:c r="H159" s="19" t="str">
        <x:v>Evaluación y artefacto reproducible pendientes.</x:v>
      </x:c>
    </x:row>
    <x:row r="160" ht="42" customHeight="1">
      <x:c r="A160" s="16" t="n">
        <x:v>19</x:v>
      </x:c>
      <x:c r="B160" s="16" t="str">
        <x:v>Pablo Alarcón</x:v>
      </x:c>
      <x:c r="C160" s="21" t="str">
        <x:v>c9125256-8d9d-5e0e-aaa3-2578149f9395</x:v>
      </x:c>
      <x:c r="D160" s="21" t="str">
        <x:v>Gestión de errores</x:v>
      </x:c>
      <x:c r="E160" s="21" t="n">
        <x:v>5</x:v>
      </x:c>
      <x:c r="F160" s="19" t="str">
        <x:v>NO_EVALUADA</x:v>
      </x:c>
      <x:c r="G160" s="19" t="str">
        <x:v>Pendiente de evaluación práctica independiente.</x:v>
      </x:c>
      <x:c r="H160" s="19" t="str">
        <x:v>Evaluación y artefacto reproducible pendientes.</x:v>
      </x:c>
    </x:row>
    <x:row r="161" ht="42" customHeight="1">
      <x:c r="A161" s="2" t="n">
        <x:v>20</x:v>
      </x:c>
      <x:c r="B161" s="2" t="str">
        <x:v>Bruno Calderón</x:v>
      </x:c>
      <x:c r="C161" s="22" t="str">
        <x:v>ced23898-32e1-5f17-bbed-8153f310afbe</x:v>
      </x:c>
      <x:c r="D161" s="22" t="str">
        <x:v>Automatización de navegador</x:v>
      </x:c>
      <x:c r="E161" s="22" t="n">
        <x:v>5</x:v>
      </x:c>
      <x:c r="F161" s="19" t="str">
        <x:v>NO_EVALUADA</x:v>
      </x:c>
      <x:c r="G161" s="19" t="str">
        <x:v>Pendiente de evaluación práctica independiente.</x:v>
      </x:c>
      <x:c r="H161" s="19" t="str">
        <x:v>Evaluación y artefacto reproducible pendientes.</x:v>
      </x:c>
    </x:row>
    <x:row r="162" ht="42" customHeight="1">
      <x:c r="A162" s="16" t="n">
        <x:v>20</x:v>
      </x:c>
      <x:c r="B162" s="16" t="str">
        <x:v>Bruno Calderón</x:v>
      </x:c>
      <x:c r="C162" s="21" t="str">
        <x:v>ac27f18e-0708-5553-9535-ec40dc57f7d8</x:v>
      </x:c>
      <x:c r="D162" s="21" t="str">
        <x:v>Pruebas E2E</x:v>
      </x:c>
      <x:c r="E162" s="21" t="n">
        <x:v>5</x:v>
      </x:c>
      <x:c r="F162" s="19" t="str">
        <x:v>NO_EVALUADA</x:v>
      </x:c>
      <x:c r="G162" s="19" t="str">
        <x:v>Pendiente de evaluación práctica independiente.</x:v>
      </x:c>
      <x:c r="H162" s="19" t="str">
        <x:v>Evaluación y artefacto reproducible pendientes.</x:v>
      </x:c>
    </x:row>
    <x:row r="163" ht="42" customHeight="1">
      <x:c r="A163" s="2" t="n">
        <x:v>20</x:v>
      </x:c>
      <x:c r="B163" s="2" t="str">
        <x:v>Bruno Calderón</x:v>
      </x:c>
      <x:c r="C163" s="22" t="str">
        <x:v>719d5bae-b403-5268-bcfc-101f02c8e4f7</x:v>
      </x:c>
      <x:c r="D163" s="22" t="str">
        <x:v>Accesibilidad</x:v>
      </x:c>
      <x:c r="E163" s="22" t="n">
        <x:v>5</x:v>
      </x:c>
      <x:c r="F163" s="19" t="str">
        <x:v>NO_EVALUADA</x:v>
      </x:c>
      <x:c r="G163" s="19" t="str">
        <x:v>Pendiente de evaluación práctica independiente.</x:v>
      </x:c>
      <x:c r="H163" s="19" t="str">
        <x:v>Evaluación y artefacto reproducible pendientes.</x:v>
      </x:c>
    </x:row>
    <x:row r="164" ht="42" customHeight="1">
      <x:c r="A164" s="16" t="n">
        <x:v>20</x:v>
      </x:c>
      <x:c r="B164" s="16" t="str">
        <x:v>Bruno Calderón</x:v>
      </x:c>
      <x:c r="C164" s="21" t="str">
        <x:v>1b515d50-ca57-5962-8b5a-cce8d186054b</x:v>
      </x:c>
      <x:c r="D164" s="21" t="str">
        <x:v>Aislamiento de sesiones</x:v>
      </x:c>
      <x:c r="E164" s="21" t="n">
        <x:v>5</x:v>
      </x:c>
      <x:c r="F164" s="19" t="str">
        <x:v>NO_EVALUADA</x:v>
      </x:c>
      <x:c r="G164" s="19" t="str">
        <x:v>Pendiente de evaluación práctica independiente.</x:v>
      </x:c>
      <x:c r="H164" s="19" t="str">
        <x:v>Evaluación y artefacto reproducible pendientes.</x:v>
      </x:c>
    </x:row>
    <x:row r="165" ht="42" customHeight="1">
      <x:c r="A165" s="2" t="n">
        <x:v>20</x:v>
      </x:c>
      <x:c r="B165" s="2" t="str">
        <x:v>Bruno Calderón</x:v>
      </x:c>
      <x:c r="C165" s="22" t="str">
        <x:v>961ee1be-8068-52c8-bad4-fa256f8fd17e</x:v>
      </x:c>
      <x:c r="D165" s="22" t="str">
        <x:v>Captura de evidencia</x:v>
      </x:c>
      <x:c r="E165" s="22" t="n">
        <x:v>5</x:v>
      </x:c>
      <x:c r="F165" s="19" t="str">
        <x:v>NO_EVALUADA</x:v>
      </x:c>
      <x:c r="G165" s="19" t="str">
        <x:v>Pendiente de evaluación práctica independiente.</x:v>
      </x:c>
      <x:c r="H165" s="19" t="str">
        <x:v>Evaluación y artefacto reproducible pendientes.</x:v>
      </x:c>
    </x:row>
    <x:row r="166" ht="42" customHeight="1">
      <x:c r="A166" s="16" t="n">
        <x:v>20</x:v>
      </x:c>
      <x:c r="B166" s="16" t="str">
        <x:v>Bruno Calderón</x:v>
      </x:c>
      <x:c r="C166" s="21" t="str">
        <x:v>6531302e-9901-547a-bc84-fd5205e287bc</x:v>
      </x:c>
      <x:c r="D166" s="21" t="str">
        <x:v>Gestión de mandatos</x:v>
      </x:c>
      <x:c r="E166" s="21" t="n">
        <x:v>5</x:v>
      </x:c>
      <x:c r="F166" s="19" t="str">
        <x:v>NO_EVALUADA</x:v>
      </x:c>
      <x:c r="G166" s="19" t="str">
        <x:v>Pendiente de evaluación práctica independiente.</x:v>
      </x:c>
      <x:c r="H166" s="19" t="str">
        <x:v>Evaluación y artefacto reproducible pendientes.</x:v>
      </x:c>
    </x:row>
    <x:row r="167" ht="42" customHeight="1">
      <x:c r="A167" s="2" t="n">
        <x:v>20</x:v>
      </x:c>
      <x:c r="B167" s="2" t="str">
        <x:v>Bruno Calderón</x:v>
      </x:c>
      <x:c r="C167" s="22" t="str">
        <x:v>edd544b1-1e79-5fcf-8288-c1ff88e004ef</x:v>
      </x:c>
      <x:c r="D167" s="22" t="str">
        <x:v>Trazabilidad de evidencia</x:v>
      </x:c>
      <x:c r="E167" s="22" t="n">
        <x:v>5</x:v>
      </x:c>
      <x:c r="F167" s="19" t="str">
        <x:v>NO_EVALUADA</x:v>
      </x:c>
      <x:c r="G167" s="19" t="str">
        <x:v>Pendiente de evaluación práctica independiente.</x:v>
      </x:c>
      <x:c r="H167" s="19" t="str">
        <x:v>Evaluación y artefacto reproducible pendientes.</x:v>
      </x:c>
    </x:row>
    <x:row r="168" ht="42" customHeight="1">
      <x:c r="A168" s="16" t="n">
        <x:v>20</x:v>
      </x:c>
      <x:c r="B168" s="16" t="str">
        <x:v>Bruno Calderón</x:v>
      </x:c>
      <x:c r="C168" s="21" t="str">
        <x:v>c9125256-8d9d-5e0e-aaa3-2578149f9395</x:v>
      </x:c>
      <x:c r="D168" s="21" t="str">
        <x:v>Gestión de errores</x:v>
      </x:c>
      <x:c r="E168" s="21" t="n">
        <x:v>5</x:v>
      </x:c>
      <x:c r="F168" s="19" t="str">
        <x:v>NO_EVALUADA</x:v>
      </x:c>
      <x:c r="G168" s="19" t="str">
        <x:v>Pendiente de evaluación práctica independiente.</x:v>
      </x:c>
      <x:c r="H168" s="19" t="str">
        <x:v>Evaluación y artefacto reproducible pendientes.</x:v>
      </x:c>
    </x:row>
    <x:row r="169" ht="42" customHeight="1">
      <x:c r="A169" s="2" t="n">
        <x:v>21</x:v>
      </x:c>
      <x:c r="B169" s="2" t="str">
        <x:v>Natalia Sanz</x:v>
      </x:c>
      <x:c r="C169" s="22" t="str">
        <x:v>512e20bc-92ff-56ee-b0a5-e4d2680d0a4f</x:v>
      </x:c>
      <x:c r="D169" s="22" t="str">
        <x:v>Compatibilidad</x:v>
      </x:c>
      <x:c r="E169" s="22" t="n">
        <x:v>5</x:v>
      </x:c>
      <x:c r="F169" s="19" t="str">
        <x:v>NO_EVALUADA</x:v>
      </x:c>
      <x:c r="G169" s="19" t="str">
        <x:v>Pendiente de evaluación práctica independiente.</x:v>
      </x:c>
      <x:c r="H169" s="19" t="str">
        <x:v>Evaluación y artefacto reproducible pendientes.</x:v>
      </x:c>
    </x:row>
    <x:row r="170" ht="42" customHeight="1">
      <x:c r="A170" s="16" t="n">
        <x:v>21</x:v>
      </x:c>
      <x:c r="B170" s="16" t="str">
        <x:v>Natalia Sanz</x:v>
      </x:c>
      <x:c r="C170" s="21" t="str">
        <x:v>69cde96e-83ea-58e2-9926-e9a66f51f81a</x:v>
      </x:c>
      <x:c r="D170" s="21" t="str">
        <x:v>Pruebas diferenciales</x:v>
      </x:c>
      <x:c r="E170" s="21" t="n">
        <x:v>5</x:v>
      </x:c>
      <x:c r="F170" s="19" t="str">
        <x:v>NO_EVALUADA</x:v>
      </x:c>
      <x:c r="G170" s="19" t="str">
        <x:v>Pendiente de evaluación práctica independiente.</x:v>
      </x:c>
      <x:c r="H170" s="19" t="str">
        <x:v>Evaluación y artefacto reproducible pendientes.</x:v>
      </x:c>
    </x:row>
    <x:row r="171" ht="42" customHeight="1">
      <x:c r="A171" s="2" t="n">
        <x:v>21</x:v>
      </x:c>
      <x:c r="B171" s="2" t="str">
        <x:v>Natalia Sanz</x:v>
      </x:c>
      <x:c r="C171" s="22" t="str">
        <x:v>55f90616-ee70-578b-a633-68bab5d6e11d</x:v>
      </x:c>
      <x:c r="D171" s="22" t="str">
        <x:v>Matrices de entorno</x:v>
      </x:c>
      <x:c r="E171" s="22" t="n">
        <x:v>5</x:v>
      </x:c>
      <x:c r="F171" s="19" t="str">
        <x:v>NO_EVALUADA</x:v>
      </x:c>
      <x:c r="G171" s="19" t="str">
        <x:v>Pendiente de evaluación práctica independiente.</x:v>
      </x:c>
      <x:c r="H171" s="19" t="str">
        <x:v>Evaluación y artefacto reproducible pendientes.</x:v>
      </x:c>
    </x:row>
    <x:row r="172" ht="42" customHeight="1">
      <x:c r="A172" s="16" t="n">
        <x:v>21</x:v>
      </x:c>
      <x:c r="B172" s="16" t="str">
        <x:v>Natalia Sanz</x:v>
      </x:c>
      <x:c r="C172" s="21" t="str">
        <x:v>1612b603-5b00-5126-9e0b-e53950baf49e</x:v>
      </x:c>
      <x:c r="D172" s="21" t="str">
        <x:v>Contratos API</x:v>
      </x:c>
      <x:c r="E172" s="21" t="n">
        <x:v>5</x:v>
      </x:c>
      <x:c r="F172" s="19" t="str">
        <x:v>NO_EVALUADA</x:v>
      </x:c>
      <x:c r="G172" s="19" t="str">
        <x:v>Pendiente de evaluación práctica independiente.</x:v>
      </x:c>
      <x:c r="H172" s="19" t="str">
        <x:v>Evaluación y artefacto reproducible pendientes.</x:v>
      </x:c>
    </x:row>
    <x:row r="173" ht="42" customHeight="1">
      <x:c r="A173" s="2" t="n">
        <x:v>21</x:v>
      </x:c>
      <x:c r="B173" s="2" t="str">
        <x:v>Natalia Sanz</x:v>
      </x:c>
      <x:c r="C173" s="22" t="str">
        <x:v>c927951e-97d4-53be-882e-331c450ba18c</x:v>
      </x:c>
      <x:c r="D173" s="22" t="str">
        <x:v>Regresión</x:v>
      </x:c>
      <x:c r="E173" s="22" t="n">
        <x:v>5</x:v>
      </x:c>
      <x:c r="F173" s="19" t="str">
        <x:v>NO_EVALUADA</x:v>
      </x:c>
      <x:c r="G173" s="19" t="str">
        <x:v>Pendiente de evaluación práctica independiente.</x:v>
      </x:c>
      <x:c r="H173" s="19" t="str">
        <x:v>Evaluación y artefacto reproducible pendientes.</x:v>
      </x:c>
    </x:row>
    <x:row r="174" ht="42" customHeight="1">
      <x:c r="A174" s="16" t="n">
        <x:v>21</x:v>
      </x:c>
      <x:c r="B174" s="16" t="str">
        <x:v>Natalia Sanz</x:v>
      </x:c>
      <x:c r="C174" s="21" t="str">
        <x:v>6531302e-9901-547a-bc84-fd5205e287bc</x:v>
      </x:c>
      <x:c r="D174" s="21" t="str">
        <x:v>Gestión de mandatos</x:v>
      </x:c>
      <x:c r="E174" s="21" t="n">
        <x:v>5</x:v>
      </x:c>
      <x:c r="F174" s="19" t="str">
        <x:v>NO_EVALUADA</x:v>
      </x:c>
      <x:c r="G174" s="19" t="str">
        <x:v>Pendiente de evaluación práctica independiente.</x:v>
      </x:c>
      <x:c r="H174" s="19" t="str">
        <x:v>Evaluación y artefacto reproducible pendientes.</x:v>
      </x:c>
    </x:row>
    <x:row r="175" ht="42" customHeight="1">
      <x:c r="A175" s="2" t="n">
        <x:v>21</x:v>
      </x:c>
      <x:c r="B175" s="2" t="str">
        <x:v>Natalia Sanz</x:v>
      </x:c>
      <x:c r="C175" s="22" t="str">
        <x:v>edd544b1-1e79-5fcf-8288-c1ff88e004ef</x:v>
      </x:c>
      <x:c r="D175" s="22" t="str">
        <x:v>Trazabilidad de evidencia</x:v>
      </x:c>
      <x:c r="E175" s="22" t="n">
        <x:v>5</x:v>
      </x:c>
      <x:c r="F175" s="19" t="str">
        <x:v>NO_EVALUADA</x:v>
      </x:c>
      <x:c r="G175" s="19" t="str">
        <x:v>Pendiente de evaluación práctica independiente.</x:v>
      </x:c>
      <x:c r="H175" s="19" t="str">
        <x:v>Evaluación y artefacto reproducible pendientes.</x:v>
      </x:c>
    </x:row>
    <x:row r="176" ht="42" customHeight="1">
      <x:c r="A176" s="16" t="n">
        <x:v>21</x:v>
      </x:c>
      <x:c r="B176" s="16" t="str">
        <x:v>Natalia Sanz</x:v>
      </x:c>
      <x:c r="C176" s="21" t="str">
        <x:v>c9125256-8d9d-5e0e-aaa3-2578149f9395</x:v>
      </x:c>
      <x:c r="D176" s="21" t="str">
        <x:v>Gestión de errores</x:v>
      </x:c>
      <x:c r="E176" s="21" t="n">
        <x:v>5</x:v>
      </x:c>
      <x:c r="F176" s="19" t="str">
        <x:v>NO_EVALUADA</x:v>
      </x:c>
      <x:c r="G176" s="19" t="str">
        <x:v>Pendiente de evaluación práctica independiente.</x:v>
      </x:c>
      <x:c r="H176" s="19" t="str">
        <x:v>Evaluación y artefacto reproducible pendientes.</x:v>
      </x:c>
    </x:row>
    <x:row r="177" ht="42" customHeight="1">
      <x:c r="A177" s="2" t="n">
        <x:v>22</x:v>
      </x:c>
      <x:c r="B177" s="2" t="str">
        <x:v>Daniela Fuentes</x:v>
      </x:c>
      <x:c r="C177" s="22" t="str">
        <x:v>e11177a5-c8ee-5bb5-9ab0-8d0e0c684edf</x:v>
      </x:c>
      <x:c r="D177" s="22" t="str">
        <x:v>Evaluación de agentes</x:v>
      </x:c>
      <x:c r="E177" s="22" t="n">
        <x:v>5</x:v>
      </x:c>
      <x:c r="F177" s="19" t="str">
        <x:v>NO_EVALUADA</x:v>
      </x:c>
      <x:c r="G177" s="19" t="str">
        <x:v>Pendiente de evaluación práctica independiente.</x:v>
      </x:c>
      <x:c r="H177" s="19" t="str">
        <x:v>Evaluación y artefacto reproducible pendientes.</x:v>
      </x:c>
    </x:row>
    <x:row r="178" ht="42" customHeight="1">
      <x:c r="A178" s="16" t="n">
        <x:v>22</x:v>
      </x:c>
      <x:c r="B178" s="16" t="str">
        <x:v>Daniela Fuentes</x:v>
      </x:c>
      <x:c r="C178" s="21" t="str">
        <x:v>0e8b9158-42c1-517a-909b-89b29cbabe62</x:v>
      </x:c>
      <x:c r="D178" s="21" t="str">
        <x:v>Diseño de herramientas</x:v>
      </x:c>
      <x:c r="E178" s="21" t="n">
        <x:v>5</x:v>
      </x:c>
      <x:c r="F178" s="19" t="str">
        <x:v>NO_EVALUADA</x:v>
      </x:c>
      <x:c r="G178" s="19" t="str">
        <x:v>Pendiente de evaluación práctica independiente.</x:v>
      </x:c>
      <x:c r="H178" s="19" t="str">
        <x:v>Evaluación y artefacto reproducible pendientes.</x:v>
      </x:c>
    </x:row>
    <x:row r="179" ht="42" customHeight="1">
      <x:c r="A179" s="2" t="n">
        <x:v>22</x:v>
      </x:c>
      <x:c r="B179" s="2" t="str">
        <x:v>Daniela Fuentes</x:v>
      </x:c>
      <x:c r="C179" s="22" t="str">
        <x:v>afb3176d-14b0-5d94-8093-d89d4e1b1d88</x:v>
      </x:c>
      <x:c r="D179" s="22" t="str">
        <x:v>Inyección de instrucciones</x:v>
      </x:c>
      <x:c r="E179" s="22" t="n">
        <x:v>5</x:v>
      </x:c>
      <x:c r="F179" s="19" t="str">
        <x:v>NO_EVALUADA</x:v>
      </x:c>
      <x:c r="G179" s="19" t="str">
        <x:v>Pendiente de evaluación práctica independiente.</x:v>
      </x:c>
      <x:c r="H179" s="19" t="str">
        <x:v>Evaluación y artefacto reproducible pendientes.</x:v>
      </x:c>
    </x:row>
    <x:row r="180" ht="42" customHeight="1">
      <x:c r="A180" s="16" t="n">
        <x:v>22</x:v>
      </x:c>
      <x:c r="B180" s="16" t="str">
        <x:v>Daniela Fuentes</x:v>
      </x:c>
      <x:c r="C180" s="21" t="str">
        <x:v>c0a82cf0-0d36-5d81-93e7-580462bcd2c2</x:v>
      </x:c>
      <x:c r="D180" s="21" t="str">
        <x:v>Habilidades versionadas</x:v>
      </x:c>
      <x:c r="E180" s="21" t="n">
        <x:v>5</x:v>
      </x:c>
      <x:c r="F180" s="19" t="str">
        <x:v>NO_EVALUADA</x:v>
      </x:c>
      <x:c r="G180" s="19" t="str">
        <x:v>Pendiente de evaluación práctica independiente.</x:v>
      </x:c>
      <x:c r="H180" s="19" t="str">
        <x:v>Evaluación y artefacto reproducible pendientes.</x:v>
      </x:c>
    </x:row>
    <x:row r="181" ht="42" customHeight="1">
      <x:c r="A181" s="2" t="n">
        <x:v>22</x:v>
      </x:c>
      <x:c r="B181" s="2" t="str">
        <x:v>Daniela Fuentes</x:v>
      </x:c>
      <x:c r="C181" s="22" t="str">
        <x:v>b55134d4-c59f-5e00-a39a-452da9bb1e1c</x:v>
      </x:c>
      <x:c r="D181" s="22" t="str">
        <x:v>Análisis de errores</x:v>
      </x:c>
      <x:c r="E181" s="22" t="n">
        <x:v>5</x:v>
      </x:c>
      <x:c r="F181" s="19" t="str">
        <x:v>NO_EVALUADA</x:v>
      </x:c>
      <x:c r="G181" s="19" t="str">
        <x:v>Pendiente de evaluación práctica independiente.</x:v>
      </x:c>
      <x:c r="H181" s="19" t="str">
        <x:v>Evaluación y artefacto reproducible pendientes.</x:v>
      </x:c>
    </x:row>
    <x:row r="182" ht="42" customHeight="1">
      <x:c r="A182" s="16" t="n">
        <x:v>22</x:v>
      </x:c>
      <x:c r="B182" s="16" t="str">
        <x:v>Daniela Fuentes</x:v>
      </x:c>
      <x:c r="C182" s="21" t="str">
        <x:v>6531302e-9901-547a-bc84-fd5205e287bc</x:v>
      </x:c>
      <x:c r="D182" s="21" t="str">
        <x:v>Gestión de mandatos</x:v>
      </x:c>
      <x:c r="E182" s="21" t="n">
        <x:v>5</x:v>
      </x:c>
      <x:c r="F182" s="19" t="str">
        <x:v>NO_EVALUADA</x:v>
      </x:c>
      <x:c r="G182" s="19" t="str">
        <x:v>Pendiente de evaluación práctica independiente.</x:v>
      </x:c>
      <x:c r="H182" s="19" t="str">
        <x:v>Evaluación y artefacto reproducible pendientes.</x:v>
      </x:c>
    </x:row>
    <x:row r="183" ht="42" customHeight="1">
      <x:c r="A183" s="2" t="n">
        <x:v>22</x:v>
      </x:c>
      <x:c r="B183" s="2" t="str">
        <x:v>Daniela Fuentes</x:v>
      </x:c>
      <x:c r="C183" s="22" t="str">
        <x:v>edd544b1-1e79-5fcf-8288-c1ff88e004ef</x:v>
      </x:c>
      <x:c r="D183" s="22" t="str">
        <x:v>Trazabilidad de evidencia</x:v>
      </x:c>
      <x:c r="E183" s="22" t="n">
        <x:v>5</x:v>
      </x:c>
      <x:c r="F183" s="19" t="str">
        <x:v>NO_EVALUADA</x:v>
      </x:c>
      <x:c r="G183" s="19" t="str">
        <x:v>Pendiente de evaluación práctica independiente.</x:v>
      </x:c>
      <x:c r="H183" s="19" t="str">
        <x:v>Evaluación y artefacto reproducible pendientes.</x:v>
      </x:c>
    </x:row>
    <x:row r="184" ht="42" customHeight="1">
      <x:c r="A184" s="16" t="n">
        <x:v>22</x:v>
      </x:c>
      <x:c r="B184" s="16" t="str">
        <x:v>Daniela Fuentes</x:v>
      </x:c>
      <x:c r="C184" s="21" t="str">
        <x:v>c9125256-8d9d-5e0e-aaa3-2578149f9395</x:v>
      </x:c>
      <x:c r="D184" s="21" t="str">
        <x:v>Gestión de errores</x:v>
      </x:c>
      <x:c r="E184" s="21" t="n">
        <x:v>5</x:v>
      </x:c>
      <x:c r="F184" s="19" t="str">
        <x:v>NO_EVALUADA</x:v>
      </x:c>
      <x:c r="G184" s="19" t="str">
        <x:v>Pendiente de evaluación práctica independiente.</x:v>
      </x:c>
      <x:c r="H184" s="19" t="str">
        <x:v>Evaluación y artefacto reproducible pendientes.</x:v>
      </x:c>
    </x:row>
    <x:row r="185" ht="42" customHeight="1">
      <x:c r="A185" s="2" t="n">
        <x:v>23</x:v>
      </x:c>
      <x:c r="B185" s="2" t="str">
        <x:v>Julián Escobar</x:v>
      </x:c>
      <x:c r="C185" s="22" t="str">
        <x:v>83c1b322-68a2-582e-9f74-9f66ba816f05</x:v>
      </x:c>
      <x:c r="D185" s="22" t="str">
        <x:v>Ingeniería de requisitos</x:v>
      </x:c>
      <x:c r="E185" s="22" t="n">
        <x:v>5</x:v>
      </x:c>
      <x:c r="F185" s="19" t="str">
        <x:v>NO_EVALUADA</x:v>
      </x:c>
      <x:c r="G185" s="19" t="str">
        <x:v>Pendiente de evaluación práctica independiente.</x:v>
      </x:c>
      <x:c r="H185" s="19" t="str">
        <x:v>Evaluación y artefacto reproducible pendientes.</x:v>
      </x:c>
    </x:row>
    <x:row r="186" ht="42" customHeight="1">
      <x:c r="A186" s="16" t="n">
        <x:v>23</x:v>
      </x:c>
      <x:c r="B186" s="16" t="str">
        <x:v>Julián Escobar</x:v>
      </x:c>
      <x:c r="C186" s="21" t="str">
        <x:v>d28299ed-8153-55b3-90d8-2015baa491bc</x:v>
      </x:c>
      <x:c r="D186" s="21" t="str">
        <x:v>Trazabilidad</x:v>
      </x:c>
      <x:c r="E186" s="21" t="n">
        <x:v>5</x:v>
      </x:c>
      <x:c r="F186" s="19" t="str">
        <x:v>NO_EVALUADA</x:v>
      </x:c>
      <x:c r="G186" s="19" t="str">
        <x:v>Pendiente de evaluación práctica independiente.</x:v>
      </x:c>
      <x:c r="H186" s="19" t="str">
        <x:v>Evaluación y artefacto reproducible pendientes.</x:v>
      </x:c>
    </x:row>
    <x:row r="187" ht="42" customHeight="1">
      <x:c r="A187" s="2" t="n">
        <x:v>23</x:v>
      </x:c>
      <x:c r="B187" s="2" t="str">
        <x:v>Julián Escobar</x:v>
      </x:c>
      <x:c r="C187" s="22" t="str">
        <x:v>85298e2d-e91c-557f-90d2-f202972f7cd4</x:v>
      </x:c>
      <x:c r="D187" s="22" t="str">
        <x:v>Especificación formal</x:v>
      </x:c>
      <x:c r="E187" s="22" t="n">
        <x:v>5</x:v>
      </x:c>
      <x:c r="F187" s="19" t="str">
        <x:v>NO_EVALUADA</x:v>
      </x:c>
      <x:c r="G187" s="19" t="str">
        <x:v>Pendiente de evaluación práctica independiente.</x:v>
      </x:c>
      <x:c r="H187" s="19" t="str">
        <x:v>Evaluación y artefacto reproducible pendientes.</x:v>
      </x:c>
    </x:row>
    <x:row r="188" ht="42" customHeight="1">
      <x:c r="A188" s="16" t="n">
        <x:v>23</x:v>
      </x:c>
      <x:c r="B188" s="16" t="str">
        <x:v>Julián Escobar</x:v>
      </x:c>
      <x:c r="C188" s="21" t="str">
        <x:v>baf04abd-bb65-543a-b217-6053e78a7757</x:v>
      </x:c>
      <x:c r="D188" s="21" t="str">
        <x:v>Documentación técnica</x:v>
      </x:c>
      <x:c r="E188" s="21" t="n">
        <x:v>5</x:v>
      </x:c>
      <x:c r="F188" s="19" t="str">
        <x:v>NO_EVALUADA</x:v>
      </x:c>
      <x:c r="G188" s="19" t="str">
        <x:v>Pendiente de evaluación práctica independiente.</x:v>
      </x:c>
      <x:c r="H188" s="19" t="str">
        <x:v>Evaluación y artefacto reproducible pendientes.</x:v>
      </x:c>
    </x:row>
    <x:row r="189" ht="42" customHeight="1">
      <x:c r="A189" s="2" t="n">
        <x:v>23</x:v>
      </x:c>
      <x:c r="B189" s="2" t="str">
        <x:v>Julián Escobar</x:v>
      </x:c>
      <x:c r="C189" s="22" t="str">
        <x:v>ccfc9a55-d3cc-5543-9550-ae2a48c4fc72</x:v>
      </x:c>
      <x:c r="D189" s="22" t="str">
        <x:v>Gestión de cambios</x:v>
      </x:c>
      <x:c r="E189" s="22" t="n">
        <x:v>5</x:v>
      </x:c>
      <x:c r="F189" s="19" t="str">
        <x:v>NO_EVALUADA</x:v>
      </x:c>
      <x:c r="G189" s="19" t="str">
        <x:v>Pendiente de evaluación práctica independiente.</x:v>
      </x:c>
      <x:c r="H189" s="19" t="str">
        <x:v>Evaluación y artefacto reproducible pendientes.</x:v>
      </x:c>
    </x:row>
    <x:row r="190" ht="42" customHeight="1">
      <x:c r="A190" s="16" t="n">
        <x:v>23</x:v>
      </x:c>
      <x:c r="B190" s="16" t="str">
        <x:v>Julián Escobar</x:v>
      </x:c>
      <x:c r="C190" s="21" t="str">
        <x:v>6531302e-9901-547a-bc84-fd5205e287bc</x:v>
      </x:c>
      <x:c r="D190" s="21" t="str">
        <x:v>Gestión de mandatos</x:v>
      </x:c>
      <x:c r="E190" s="21" t="n">
        <x:v>5</x:v>
      </x:c>
      <x:c r="F190" s="19" t="str">
        <x:v>NO_EVALUADA</x:v>
      </x:c>
      <x:c r="G190" s="19" t="str">
        <x:v>Pendiente de evaluación práctica independiente.</x:v>
      </x:c>
      <x:c r="H190" s="19" t="str">
        <x:v>Evaluación y artefacto reproducible pendientes.</x:v>
      </x:c>
    </x:row>
    <x:row r="191" ht="42" customHeight="1">
      <x:c r="A191" s="2" t="n">
        <x:v>23</x:v>
      </x:c>
      <x:c r="B191" s="2" t="str">
        <x:v>Julián Escobar</x:v>
      </x:c>
      <x:c r="C191" s="22" t="str">
        <x:v>edd544b1-1e79-5fcf-8288-c1ff88e004ef</x:v>
      </x:c>
      <x:c r="D191" s="22" t="str">
        <x:v>Trazabilidad de evidencia</x:v>
      </x:c>
      <x:c r="E191" s="22" t="n">
        <x:v>5</x:v>
      </x:c>
      <x:c r="F191" s="19" t="str">
        <x:v>NO_EVALUADA</x:v>
      </x:c>
      <x:c r="G191" s="19" t="str">
        <x:v>Pendiente de evaluación práctica independiente.</x:v>
      </x:c>
      <x:c r="H191" s="19" t="str">
        <x:v>Evaluación y artefacto reproducible pendientes.</x:v>
      </x:c>
    </x:row>
    <x:row r="192" ht="42" customHeight="1">
      <x:c r="A192" s="16" t="n">
        <x:v>23</x:v>
      </x:c>
      <x:c r="B192" s="16" t="str">
        <x:v>Julián Escobar</x:v>
      </x:c>
      <x:c r="C192" s="21" t="str">
        <x:v>c9125256-8d9d-5e0e-aaa3-2578149f9395</x:v>
      </x:c>
      <x:c r="D192" s="21" t="str">
        <x:v>Gestión de errores</x:v>
      </x:c>
      <x:c r="E192" s="21" t="n">
        <x:v>5</x:v>
      </x:c>
      <x:c r="F192" s="19" t="str">
        <x:v>NO_EVALUADA</x:v>
      </x:c>
      <x:c r="G192" s="19" t="str">
        <x:v>Pendiente de evaluación práctica independiente.</x:v>
      </x:c>
      <x:c r="H192" s="19" t="str">
        <x:v>Evaluación y artefacto reproducible pendientes.</x:v>
      </x:c>
    </x:row>
    <x:row r="193" ht="42" customHeight="1">
      <x:c r="A193" s="2" t="n">
        <x:v>24</x:v>
      </x:c>
      <x:c r="B193" s="2" t="str">
        <x:v>Camila Navarro</x:v>
      </x:c>
      <x:c r="C193" s="22" t="str">
        <x:v>aecc69cf-cee2-56a4-a7c0-acbdd0c210f7</x:v>
      </x:c>
      <x:c r="D193" s="22" t="str">
        <x:v>Pruebas de carga</x:v>
      </x:c>
      <x:c r="E193" s="22" t="n">
        <x:v>5</x:v>
      </x:c>
      <x:c r="F193" s="19" t="str">
        <x:v>NO_EVALUADA</x:v>
      </x:c>
      <x:c r="G193" s="19" t="str">
        <x:v>Pendiente de evaluación práctica independiente.</x:v>
      </x:c>
      <x:c r="H193" s="19" t="str">
        <x:v>Evaluación y artefacto reproducible pendientes.</x:v>
      </x:c>
    </x:row>
    <x:row r="194" ht="42" customHeight="1">
      <x:c r="A194" s="16" t="n">
        <x:v>24</x:v>
      </x:c>
      <x:c r="B194" s="16" t="str">
        <x:v>Camila Navarro</x:v>
      </x:c>
      <x:c r="C194" s="21" t="str">
        <x:v>b7c4fbbb-db25-5701-8b17-008a00ecfee2</x:v>
      </x:c>
      <x:c r="D194" s="21" t="str">
        <x:v>Análisis de latencia</x:v>
      </x:c>
      <x:c r="E194" s="21" t="n">
        <x:v>5</x:v>
      </x:c>
      <x:c r="F194" s="19" t="str">
        <x:v>NO_EVALUADA</x:v>
      </x:c>
      <x:c r="G194" s="19" t="str">
        <x:v>Pendiente de evaluación práctica independiente.</x:v>
      </x:c>
      <x:c r="H194" s="19" t="str">
        <x:v>Evaluación y artefacto reproducible pendientes.</x:v>
      </x:c>
    </x:row>
    <x:row r="195" ht="42" customHeight="1">
      <x:c r="A195" s="2" t="n">
        <x:v>24</x:v>
      </x:c>
      <x:c r="B195" s="2" t="str">
        <x:v>Camila Navarro</x:v>
      </x:c>
      <x:c r="C195" s="22" t="str">
        <x:v>45dbfef1-159f-5559-884e-5226d1efe586</x:v>
      </x:c>
      <x:c r="D195" s="22" t="str">
        <x:v>Perfilado</x:v>
      </x:c>
      <x:c r="E195" s="22" t="n">
        <x:v>5</x:v>
      </x:c>
      <x:c r="F195" s="19" t="str">
        <x:v>NO_EVALUADA</x:v>
      </x:c>
      <x:c r="G195" s="19" t="str">
        <x:v>Pendiente de evaluación práctica independiente.</x:v>
      </x:c>
      <x:c r="H195" s="19" t="str">
        <x:v>Evaluación y artefacto reproducible pendientes.</x:v>
      </x:c>
    </x:row>
    <x:row r="196" ht="42" customHeight="1">
      <x:c r="A196" s="16" t="n">
        <x:v>24</x:v>
      </x:c>
      <x:c r="B196" s="16" t="str">
        <x:v>Camila Navarro</x:v>
      </x:c>
      <x:c r="C196" s="21" t="str">
        <x:v>7dcf25e9-0625-5f9a-8ac4-d4e6c9fce9f0</x:v>
      </x:c>
      <x:c r="D196" s="21" t="str">
        <x:v>Capacidad</x:v>
      </x:c>
      <x:c r="E196" s="21" t="n">
        <x:v>5</x:v>
      </x:c>
      <x:c r="F196" s="19" t="str">
        <x:v>NO_EVALUADA</x:v>
      </x:c>
      <x:c r="G196" s="19" t="str">
        <x:v>Pendiente de evaluación práctica independiente.</x:v>
      </x:c>
      <x:c r="H196" s="19" t="str">
        <x:v>Evaluación y artefacto reproducible pendientes.</x:v>
      </x:c>
    </x:row>
    <x:row r="197" ht="42" customHeight="1">
      <x:c r="A197" s="2" t="n">
        <x:v>24</x:v>
      </x:c>
      <x:c r="B197" s="2" t="str">
        <x:v>Camila Navarro</x:v>
      </x:c>
      <x:c r="C197" s="22" t="str">
        <x:v>3905d181-ee6d-5201-afcb-149a1b021cc5</x:v>
      </x:c>
      <x:c r="D197" s="22" t="str">
        <x:v>Presupuestos de recursos</x:v>
      </x:c>
      <x:c r="E197" s="22" t="n">
        <x:v>5</x:v>
      </x:c>
      <x:c r="F197" s="19" t="str">
        <x:v>NO_EVALUADA</x:v>
      </x:c>
      <x:c r="G197" s="19" t="str">
        <x:v>Pendiente de evaluación práctica independiente.</x:v>
      </x:c>
      <x:c r="H197" s="19" t="str">
        <x:v>Evaluación y artefacto reproducible pendientes.</x:v>
      </x:c>
    </x:row>
    <x:row r="198" ht="42" customHeight="1">
      <x:c r="A198" s="16" t="n">
        <x:v>24</x:v>
      </x:c>
      <x:c r="B198" s="16" t="str">
        <x:v>Camila Navarro</x:v>
      </x:c>
      <x:c r="C198" s="21" t="str">
        <x:v>6531302e-9901-547a-bc84-fd5205e287bc</x:v>
      </x:c>
      <x:c r="D198" s="21" t="str">
        <x:v>Gestión de mandatos</x:v>
      </x:c>
      <x:c r="E198" s="21" t="n">
        <x:v>5</x:v>
      </x:c>
      <x:c r="F198" s="19" t="str">
        <x:v>NO_EVALUADA</x:v>
      </x:c>
      <x:c r="G198" s="19" t="str">
        <x:v>Pendiente de evaluación práctica independiente.</x:v>
      </x:c>
      <x:c r="H198" s="19" t="str">
        <x:v>Evaluación y artefacto reproducible pendientes.</x:v>
      </x:c>
    </x:row>
    <x:row r="199" ht="42" customHeight="1">
      <x:c r="A199" s="2" t="n">
        <x:v>24</x:v>
      </x:c>
      <x:c r="B199" s="2" t="str">
        <x:v>Camila Navarro</x:v>
      </x:c>
      <x:c r="C199" s="22" t="str">
        <x:v>edd544b1-1e79-5fcf-8288-c1ff88e004ef</x:v>
      </x:c>
      <x:c r="D199" s="22" t="str">
        <x:v>Trazabilidad de evidencia</x:v>
      </x:c>
      <x:c r="E199" s="22" t="n">
        <x:v>5</x:v>
      </x:c>
      <x:c r="F199" s="19" t="str">
        <x:v>NO_EVALUADA</x:v>
      </x:c>
      <x:c r="G199" s="19" t="str">
        <x:v>Pendiente de evaluación práctica independiente.</x:v>
      </x:c>
      <x:c r="H199" s="19" t="str">
        <x:v>Evaluación y artefacto reproducible pendientes.</x:v>
      </x:c>
    </x:row>
    <x:row r="200" ht="42" customHeight="1">
      <x:c r="A200" s="16" t="n">
        <x:v>24</x:v>
      </x:c>
      <x:c r="B200" s="16" t="str">
        <x:v>Camila Navarro</x:v>
      </x:c>
      <x:c r="C200" s="21" t="str">
        <x:v>c9125256-8d9d-5e0e-aaa3-2578149f9395</x:v>
      </x:c>
      <x:c r="D200" s="21" t="str">
        <x:v>Gestión de errores</x:v>
      </x:c>
      <x:c r="E200" s="21" t="n">
        <x:v>5</x:v>
      </x:c>
      <x:c r="F200" s="19" t="str">
        <x:v>NO_EVALUADA</x:v>
      </x:c>
      <x:c r="G200" s="19" t="str">
        <x:v>Pendiente de evaluación práctica independiente.</x:v>
      </x:c>
      <x:c r="H200" s="19" t="str">
        <x:v>Evaluación y artefacto reproducible pendientes.</x:v>
      </x:c>
    </x:row>
    <x:row r="201" ht="42" customHeight="1">
      <x:c r="A201" s="2" t="n">
        <x:v>25</x:v>
      </x:c>
      <x:c r="B201" s="2" t="str">
        <x:v>Celia Paredes</x:v>
      </x:c>
      <x:c r="C201" s="22" t="str">
        <x:v>4672deab-e278-5d7d-b7ca-75be681b243d</x:v>
      </x:c>
      <x:c r="D201" s="22" t="str">
        <x:v>Investigación de usuarios</x:v>
      </x:c>
      <x:c r="E201" s="22" t="n">
        <x:v>5</x:v>
      </x:c>
      <x:c r="F201" s="19" t="str">
        <x:v>NO_EVALUADA</x:v>
      </x:c>
      <x:c r="G201" s="19" t="str">
        <x:v>Pendiente de evaluación práctica independiente.</x:v>
      </x:c>
      <x:c r="H201" s="19" t="str">
        <x:v>Evaluación y artefacto reproducible pendientes.</x:v>
      </x:c>
    </x:row>
    <x:row r="202" ht="42" customHeight="1">
      <x:c r="A202" s="16" t="n">
        <x:v>25</x:v>
      </x:c>
      <x:c r="B202" s="16" t="str">
        <x:v>Celia Paredes</x:v>
      </x:c>
      <x:c r="C202" s="21" t="str">
        <x:v>427aa026-8a95-56b2-9839-fe4008f75f05</x:v>
      </x:c>
      <x:c r="D202" s="21" t="str">
        <x:v>Diseño de interacción</x:v>
      </x:c>
      <x:c r="E202" s="21" t="n">
        <x:v>5</x:v>
      </x:c>
      <x:c r="F202" s="19" t="str">
        <x:v>NO_EVALUADA</x:v>
      </x:c>
      <x:c r="G202" s="19" t="str">
        <x:v>Pendiente de evaluación práctica independiente.</x:v>
      </x:c>
      <x:c r="H202" s="19" t="str">
        <x:v>Evaluación y artefacto reproducible pendientes.</x:v>
      </x:c>
    </x:row>
    <x:row r="203" ht="42" customHeight="1">
      <x:c r="A203" s="2" t="n">
        <x:v>25</x:v>
      </x:c>
      <x:c r="B203" s="2" t="str">
        <x:v>Celia Paredes</x:v>
      </x:c>
      <x:c r="C203" s="22" t="str">
        <x:v>719d5bae-b403-5268-bcfc-101f02c8e4f7</x:v>
      </x:c>
      <x:c r="D203" s="22" t="str">
        <x:v>Accesibilidad</x:v>
      </x:c>
      <x:c r="E203" s="22" t="n">
        <x:v>5</x:v>
      </x:c>
      <x:c r="F203" s="19" t="str">
        <x:v>NO_EVALUADA</x:v>
      </x:c>
      <x:c r="G203" s="19" t="str">
        <x:v>Pendiente de evaluación práctica independiente.</x:v>
      </x:c>
      <x:c r="H203" s="19" t="str">
        <x:v>Evaluación y artefacto reproducible pendientes.</x:v>
      </x:c>
    </x:row>
    <x:row r="204" ht="42" customHeight="1">
      <x:c r="A204" s="16" t="n">
        <x:v>25</x:v>
      </x:c>
      <x:c r="B204" s="16" t="str">
        <x:v>Celia Paredes</x:v>
      </x:c>
      <x:c r="C204" s="21" t="str">
        <x:v>5954d1e4-a9f4-5e79-8436-2d771fb82998</x:v>
      </x:c>
      <x:c r="D204" s="21" t="str">
        <x:v>Pruebas de usabilidad</x:v>
      </x:c>
      <x:c r="E204" s="21" t="n">
        <x:v>5</x:v>
      </x:c>
      <x:c r="F204" s="19" t="str">
        <x:v>NO_EVALUADA</x:v>
      </x:c>
      <x:c r="G204" s="19" t="str">
        <x:v>Pendiente de evaluación práctica independiente.</x:v>
      </x:c>
      <x:c r="H204" s="19" t="str">
        <x:v>Evaluación y artefacto reproducible pendientes.</x:v>
      </x:c>
    </x:row>
    <x:row r="205" ht="42" customHeight="1">
      <x:c r="A205" s="2" t="n">
        <x:v>25</x:v>
      </x:c>
      <x:c r="B205" s="2" t="str">
        <x:v>Celia Paredes</x:v>
      </x:c>
      <x:c r="C205" s="22" t="str">
        <x:v>370f1ce1-491d-5a28-9d66-58ca5cca79ed</x:v>
      </x:c>
      <x:c r="D205" s="22" t="str">
        <x:v>Métricas de producto</x:v>
      </x:c>
      <x:c r="E205" s="22" t="n">
        <x:v>5</x:v>
      </x:c>
      <x:c r="F205" s="19" t="str">
        <x:v>NO_EVALUADA</x:v>
      </x:c>
      <x:c r="G205" s="19" t="str">
        <x:v>Pendiente de evaluación práctica independiente.</x:v>
      </x:c>
      <x:c r="H205" s="19" t="str">
        <x:v>Evaluación y artefacto reproducible pendientes.</x:v>
      </x:c>
    </x:row>
    <x:row r="206" ht="42" customHeight="1">
      <x:c r="A206" s="16" t="n">
        <x:v>25</x:v>
      </x:c>
      <x:c r="B206" s="16" t="str">
        <x:v>Celia Paredes</x:v>
      </x:c>
      <x:c r="C206" s="21" t="str">
        <x:v>6531302e-9901-547a-bc84-fd5205e287bc</x:v>
      </x:c>
      <x:c r="D206" s="21" t="str">
        <x:v>Gestión de mandatos</x:v>
      </x:c>
      <x:c r="E206" s="21" t="n">
        <x:v>5</x:v>
      </x:c>
      <x:c r="F206" s="19" t="str">
        <x:v>NO_EVALUADA</x:v>
      </x:c>
      <x:c r="G206" s="19" t="str">
        <x:v>Pendiente de evaluación práctica independiente.</x:v>
      </x:c>
      <x:c r="H206" s="19" t="str">
        <x:v>Evaluación y artefacto reproducible pendientes.</x:v>
      </x:c>
    </x:row>
    <x:row r="207" ht="42" customHeight="1">
      <x:c r="A207" s="2" t="n">
        <x:v>25</x:v>
      </x:c>
      <x:c r="B207" s="2" t="str">
        <x:v>Celia Paredes</x:v>
      </x:c>
      <x:c r="C207" s="22" t="str">
        <x:v>edd544b1-1e79-5fcf-8288-c1ff88e004ef</x:v>
      </x:c>
      <x:c r="D207" s="22" t="str">
        <x:v>Trazabilidad de evidencia</x:v>
      </x:c>
      <x:c r="E207" s="22" t="n">
        <x:v>5</x:v>
      </x:c>
      <x:c r="F207" s="19" t="str">
        <x:v>NO_EVALUADA</x:v>
      </x:c>
      <x:c r="G207" s="19" t="str">
        <x:v>Pendiente de evaluación práctica independiente.</x:v>
      </x:c>
      <x:c r="H207" s="19" t="str">
        <x:v>Evaluación y artefacto reproducible pendientes.</x:v>
      </x:c>
    </x:row>
    <x:row r="208" ht="42" customHeight="1">
      <x:c r="A208" s="16" t="n">
        <x:v>25</x:v>
      </x:c>
      <x:c r="B208" s="16" t="str">
        <x:v>Celia Paredes</x:v>
      </x:c>
      <x:c r="C208" s="21" t="str">
        <x:v>c9125256-8d9d-5e0e-aaa3-2578149f9395</x:v>
      </x:c>
      <x:c r="D208" s="21" t="str">
        <x:v>Gestión de errores</x:v>
      </x:c>
      <x:c r="E208" s="21" t="n">
        <x:v>5</x:v>
      </x:c>
      <x:c r="F208" s="19" t="str">
        <x:v>NO_EVALUADA</x:v>
      </x:c>
      <x:c r="G208" s="19" t="str">
        <x:v>Pendiente de evaluación práctica independiente.</x:v>
      </x:c>
      <x:c r="H208" s="19" t="str">
        <x:v>Evaluación y artefacto reproducible pendientes.</x:v>
      </x:c>
    </x:row>
    <x:row r="209" ht="42" customHeight="1">
      <x:c r="A209" s="2" t="n">
        <x:v>26</x:v>
      </x:c>
      <x:c r="B209" s="2" t="str">
        <x:v>Adrián Lago</x:v>
      </x:c>
      <x:c r="C209" s="22" t="str">
        <x:v>e1498159-4d13-5c08-8c36-ddf2a3d0a855</x:v>
      </x:c>
      <x:c r="D209" s="22" t="str">
        <x:v>Privacidad</x:v>
      </x:c>
      <x:c r="E209" s="22" t="n">
        <x:v>5</x:v>
      </x:c>
      <x:c r="F209" s="19" t="str">
        <x:v>NO_EVALUADA</x:v>
      </x:c>
      <x:c r="G209" s="19" t="str">
        <x:v>Pendiente de evaluación práctica independiente.</x:v>
      </x:c>
      <x:c r="H209" s="19" t="str">
        <x:v>Evaluación y artefacto reproducible pendientes.</x:v>
      </x:c>
    </x:row>
    <x:row r="210" ht="42" customHeight="1">
      <x:c r="A210" s="16" t="n">
        <x:v>26</x:v>
      </x:c>
      <x:c r="B210" s="16" t="str">
        <x:v>Adrián Lago</x:v>
      </x:c>
      <x:c r="C210" s="21" t="str">
        <x:v>1ce836c7-1273-5826-8e77-7cacbb84cb39</x:v>
      </x:c>
      <x:c r="D210" s="21" t="str">
        <x:v>Modelado de datos</x:v>
      </x:c>
      <x:c r="E210" s="21" t="n">
        <x:v>5</x:v>
      </x:c>
      <x:c r="F210" s="19" t="str">
        <x:v>NO_EVALUADA</x:v>
      </x:c>
      <x:c r="G210" s="19" t="str">
        <x:v>Pendiente de evaluación práctica independiente.</x:v>
      </x:c>
      <x:c r="H210" s="19" t="str">
        <x:v>Evaluación y artefacto reproducible pendientes.</x:v>
      </x:c>
    </x:row>
    <x:row r="211" ht="42" customHeight="1">
      <x:c r="A211" s="2" t="n">
        <x:v>26</x:v>
      </x:c>
      <x:c r="B211" s="2" t="str">
        <x:v>Adrián Lago</x:v>
      </x:c>
      <x:c r="C211" s="22" t="str">
        <x:v>97bdc01a-6c3c-588d-a816-d93c244a41c7</x:v>
      </x:c>
      <x:c r="D211" s="22" t="str">
        <x:v>Autorización</x:v>
      </x:c>
      <x:c r="E211" s="22" t="n">
        <x:v>5</x:v>
      </x:c>
      <x:c r="F211" s="19" t="str">
        <x:v>NO_EVALUADA</x:v>
      </x:c>
      <x:c r="G211" s="19" t="str">
        <x:v>Pendiente de evaluación práctica independiente.</x:v>
      </x:c>
      <x:c r="H211" s="19" t="str">
        <x:v>Evaluación y artefacto reproducible pendientes.</x:v>
      </x:c>
    </x:row>
    <x:row r="212" ht="42" customHeight="1">
      <x:c r="A212" s="16" t="n">
        <x:v>26</x:v>
      </x:c>
      <x:c r="B212" s="16" t="str">
        <x:v>Adrián Lago</x:v>
      </x:c>
      <x:c r="C212" s="21" t="str">
        <x:v>98c88365-24b2-570c-93ba-8d9b535b4e69</x:v>
      </x:c>
      <x:c r="D212" s="21" t="str">
        <x:v>Retención de datos</x:v>
      </x:c>
      <x:c r="E212" s="21" t="n">
        <x:v>5</x:v>
      </x:c>
      <x:c r="F212" s="19" t="str">
        <x:v>NO_EVALUADA</x:v>
      </x:c>
      <x:c r="G212" s="19" t="str">
        <x:v>Pendiente de evaluación práctica independiente.</x:v>
      </x:c>
      <x:c r="H212" s="19" t="str">
        <x:v>Evaluación y artefacto reproducible pendientes.</x:v>
      </x:c>
    </x:row>
    <x:row r="213" ht="42" customHeight="1">
      <x:c r="A213" s="2" t="n">
        <x:v>26</x:v>
      </x:c>
      <x:c r="B213" s="2" t="str">
        <x:v>Adrián Lago</x:v>
      </x:c>
      <x:c r="C213" s="22" t="str">
        <x:v>b30c05e7-1e16-5ae2-b5be-296fe79d81ac</x:v>
      </x:c>
      <x:c r="D213" s="22" t="str">
        <x:v>Modelado de amenazas</x:v>
      </x:c>
      <x:c r="E213" s="22" t="n">
        <x:v>5</x:v>
      </x:c>
      <x:c r="F213" s="19" t="str">
        <x:v>NO_EVALUADA</x:v>
      </x:c>
      <x:c r="G213" s="19" t="str">
        <x:v>Pendiente de evaluación práctica independiente.</x:v>
      </x:c>
      <x:c r="H213" s="19" t="str">
        <x:v>Evaluación y artefacto reproducible pendientes.</x:v>
      </x:c>
    </x:row>
    <x:row r="214" ht="42" customHeight="1">
      <x:c r="A214" s="16" t="n">
        <x:v>26</x:v>
      </x:c>
      <x:c r="B214" s="16" t="str">
        <x:v>Adrián Lago</x:v>
      </x:c>
      <x:c r="C214" s="21" t="str">
        <x:v>6531302e-9901-547a-bc84-fd5205e287bc</x:v>
      </x:c>
      <x:c r="D214" s="21" t="str">
        <x:v>Gestión de mandatos</x:v>
      </x:c>
      <x:c r="E214" s="21" t="n">
        <x:v>5</x:v>
      </x:c>
      <x:c r="F214" s="19" t="str">
        <x:v>NO_EVALUADA</x:v>
      </x:c>
      <x:c r="G214" s="19" t="str">
        <x:v>Pendiente de evaluación práctica independiente.</x:v>
      </x:c>
      <x:c r="H214" s="19" t="str">
        <x:v>Evaluación y artefacto reproducible pendientes.</x:v>
      </x:c>
    </x:row>
    <x:row r="215" ht="42" customHeight="1">
      <x:c r="A215" s="2" t="n">
        <x:v>26</x:v>
      </x:c>
      <x:c r="B215" s="2" t="str">
        <x:v>Adrián Lago</x:v>
      </x:c>
      <x:c r="C215" s="22" t="str">
        <x:v>edd544b1-1e79-5fcf-8288-c1ff88e004ef</x:v>
      </x:c>
      <x:c r="D215" s="22" t="str">
        <x:v>Trazabilidad de evidencia</x:v>
      </x:c>
      <x:c r="E215" s="22" t="n">
        <x:v>5</x:v>
      </x:c>
      <x:c r="F215" s="19" t="str">
        <x:v>NO_EVALUADA</x:v>
      </x:c>
      <x:c r="G215" s="19" t="str">
        <x:v>Pendiente de evaluación práctica independiente.</x:v>
      </x:c>
      <x:c r="H215" s="19" t="str">
        <x:v>Evaluación y artefacto reproducible pendientes.</x:v>
      </x:c>
    </x:row>
    <x:row r="216" ht="42" customHeight="1">
      <x:c r="A216" s="16" t="n">
        <x:v>26</x:v>
      </x:c>
      <x:c r="B216" s="16" t="str">
        <x:v>Adrián Lago</x:v>
      </x:c>
      <x:c r="C216" s="21" t="str">
        <x:v>c9125256-8d9d-5e0e-aaa3-2578149f9395</x:v>
      </x:c>
      <x:c r="D216" s="21" t="str">
        <x:v>Gestión de errores</x:v>
      </x:c>
      <x:c r="E216" s="21" t="n">
        <x:v>5</x:v>
      </x:c>
      <x:c r="F216" s="19" t="str">
        <x:v>NO_EVALUADA</x:v>
      </x:c>
      <x:c r="G216" s="19" t="str">
        <x:v>Pendiente de evaluación práctica independiente.</x:v>
      </x:c>
      <x:c r="H216" s="19" t="str">
        <x:v>Evaluación y artefacto reproducible pendientes.</x:v>
      </x:c>
    </x:row>
    <x:row r="217" ht="42" customHeight="1">
      <x:c r="A217" s="2" t="n">
        <x:v>27</x:v>
      </x:c>
      <x:c r="B217" s="2" t="str">
        <x:v>Lara Cortés</x:v>
      </x:c>
      <x:c r="C217" s="22" t="str">
        <x:v>aebf893b-a31e-560e-8393-94a59de4904d</x:v>
      </x:c>
      <x:c r="D217" s="22" t="str">
        <x:v>Integración continua</x:v>
      </x:c>
      <x:c r="E217" s="22" t="n">
        <x:v>5</x:v>
      </x:c>
      <x:c r="F217" s="19" t="str">
        <x:v>NO_EVALUADA</x:v>
      </x:c>
      <x:c r="G217" s="19" t="str">
        <x:v>Pendiente de evaluación práctica independiente.</x:v>
      </x:c>
      <x:c r="H217" s="19" t="str">
        <x:v>Evaluación y artefacto reproducible pendientes.</x:v>
      </x:c>
    </x:row>
    <x:row r="218" ht="42" customHeight="1">
      <x:c r="A218" s="16" t="n">
        <x:v>27</x:v>
      </x:c>
      <x:c r="B218" s="16" t="str">
        <x:v>Lara Cortés</x:v>
      </x:c>
      <x:c r="C218" s="21" t="str">
        <x:v>c78a1452-ee6e-57b9-a5e2-06b1e106ca37</x:v>
      </x:c>
      <x:c r="D218" s="21" t="str">
        <x:v>Seguridad de dependencias</x:v>
      </x:c>
      <x:c r="E218" s="21" t="n">
        <x:v>5</x:v>
      </x:c>
      <x:c r="F218" s="19" t="str">
        <x:v>NO_EVALUADA</x:v>
      </x:c>
      <x:c r="G218" s="19" t="str">
        <x:v>Pendiente de evaluación práctica independiente.</x:v>
      </x:c>
      <x:c r="H218" s="19" t="str">
        <x:v>Evaluación y artefacto reproducible pendientes.</x:v>
      </x:c>
    </x:row>
    <x:row r="219" ht="42" customHeight="1">
      <x:c r="A219" s="2" t="n">
        <x:v>27</x:v>
      </x:c>
      <x:c r="B219" s="2" t="str">
        <x:v>Lara Cortés</x:v>
      </x:c>
      <x:c r="C219" s="22" t="str">
        <x:v>d4aa5146-7b68-5971-b172-7c9aab908cf1</x:v>
      </x:c>
      <x:c r="D219" s="22" t="str">
        <x:v>Control de versiones</x:v>
      </x:c>
      <x:c r="E219" s="22" t="n">
        <x:v>5</x:v>
      </x:c>
      <x:c r="F219" s="19" t="str">
        <x:v>NO_EVALUADA</x:v>
      </x:c>
      <x:c r="G219" s="19" t="str">
        <x:v>Pendiente de evaluación práctica independiente.</x:v>
      </x:c>
      <x:c r="H219" s="19" t="str">
        <x:v>Evaluación y artefacto reproducible pendientes.</x:v>
      </x:c>
    </x:row>
    <x:row r="220" ht="42" customHeight="1">
      <x:c r="A220" s="16" t="n">
        <x:v>27</x:v>
      </x:c>
      <x:c r="B220" s="16" t="str">
        <x:v>Lara Cortés</x:v>
      </x:c>
      <x:c r="C220" s="21" t="str">
        <x:v>cbfe9fca-6683-5b1a-af6f-d481a6a01dc4</x:v>
      </x:c>
      <x:c r="D220" s="21" t="str">
        <x:v>Reproducibilidad</x:v>
      </x:c>
      <x:c r="E220" s="21" t="n">
        <x:v>5</x:v>
      </x:c>
      <x:c r="F220" s="19" t="str">
        <x:v>NO_EVALUADA</x:v>
      </x:c>
      <x:c r="G220" s="19" t="str">
        <x:v>Pendiente de evaluación práctica independiente.</x:v>
      </x:c>
      <x:c r="H220" s="19" t="str">
        <x:v>Evaluación y artefacto reproducible pendientes.</x:v>
      </x:c>
    </x:row>
    <x:row r="221" ht="42" customHeight="1">
      <x:c r="A221" s="2" t="n">
        <x:v>27</x:v>
      </x:c>
      <x:c r="B221" s="2" t="str">
        <x:v>Lara Cortés</x:v>
      </x:c>
      <x:c r="C221" s="22" t="str">
        <x:v>81584bf6-e593-58a7-b944-ca991c7acd4b</x:v>
      </x:c>
      <x:c r="D221" s="22" t="str">
        <x:v>Análisis estático</x:v>
      </x:c>
      <x:c r="E221" s="22" t="n">
        <x:v>5</x:v>
      </x:c>
      <x:c r="F221" s="19" t="str">
        <x:v>NO_EVALUADA</x:v>
      </x:c>
      <x:c r="G221" s="19" t="str">
        <x:v>Pendiente de evaluación práctica independiente.</x:v>
      </x:c>
      <x:c r="H221" s="19" t="str">
        <x:v>Evaluación y artefacto reproducible pendientes.</x:v>
      </x:c>
    </x:row>
    <x:row r="222" ht="42" customHeight="1">
      <x:c r="A222" s="16" t="n">
        <x:v>27</x:v>
      </x:c>
      <x:c r="B222" s="16" t="str">
        <x:v>Lara Cortés</x:v>
      </x:c>
      <x:c r="C222" s="21" t="str">
        <x:v>6531302e-9901-547a-bc84-fd5205e287bc</x:v>
      </x:c>
      <x:c r="D222" s="21" t="str">
        <x:v>Gestión de mandatos</x:v>
      </x:c>
      <x:c r="E222" s="21" t="n">
        <x:v>5</x:v>
      </x:c>
      <x:c r="F222" s="19" t="str">
        <x:v>NO_EVALUADA</x:v>
      </x:c>
      <x:c r="G222" s="19" t="str">
        <x:v>Pendiente de evaluación práctica independiente.</x:v>
      </x:c>
      <x:c r="H222" s="19" t="str">
        <x:v>Evaluación y artefacto reproducible pendientes.</x:v>
      </x:c>
    </x:row>
    <x:row r="223" ht="42" customHeight="1">
      <x:c r="A223" s="2" t="n">
        <x:v>27</x:v>
      </x:c>
      <x:c r="B223" s="2" t="str">
        <x:v>Lara Cortés</x:v>
      </x:c>
      <x:c r="C223" s="22" t="str">
        <x:v>edd544b1-1e79-5fcf-8288-c1ff88e004ef</x:v>
      </x:c>
      <x:c r="D223" s="22" t="str">
        <x:v>Trazabilidad de evidencia</x:v>
      </x:c>
      <x:c r="E223" s="22" t="n">
        <x:v>5</x:v>
      </x:c>
      <x:c r="F223" s="19" t="str">
        <x:v>NO_EVALUADA</x:v>
      </x:c>
      <x:c r="G223" s="19" t="str">
        <x:v>Pendiente de evaluación práctica independiente.</x:v>
      </x:c>
      <x:c r="H223" s="19" t="str">
        <x:v>Evaluación y artefacto reproducible pendientes.</x:v>
      </x:c>
    </x:row>
    <x:row r="224" ht="42" customHeight="1">
      <x:c r="A224" s="16" t="n">
        <x:v>27</x:v>
      </x:c>
      <x:c r="B224" s="16" t="str">
        <x:v>Lara Cortés</x:v>
      </x:c>
      <x:c r="C224" s="21" t="str">
        <x:v>c9125256-8d9d-5e0e-aaa3-2578149f9395</x:v>
      </x:c>
      <x:c r="D224" s="21" t="str">
        <x:v>Gestión de errores</x:v>
      </x:c>
      <x:c r="E224" s="21" t="n">
        <x:v>5</x:v>
      </x:c>
      <x:c r="F224" s="19" t="str">
        <x:v>NO_EVALUADA</x:v>
      </x:c>
      <x:c r="G224" s="19" t="str">
        <x:v>Pendiente de evaluación práctica independiente.</x:v>
      </x:c>
      <x:c r="H224" s="19" t="str">
        <x:v>Evaluación y artefacto reproducible pendientes.</x:v>
      </x:c>
    </x:row>
    <x:row r="225" ht="42" customHeight="1">
      <x:c r="A225" s="2" t="n">
        <x:v>28</x:v>
      </x:c>
      <x:c r="B225" s="2" t="str">
        <x:v>Nora Medina</x:v>
      </x:c>
      <x:c r="C225" s="22" t="str">
        <x:v>18333bc8-849f-5437-a764-7b93ef961983</x:v>
      </x:c>
      <x:c r="D225" s="22" t="str">
        <x:v>Recuperación</x:v>
      </x:c>
      <x:c r="E225" s="22" t="n">
        <x:v>5</x:v>
      </x:c>
      <x:c r="F225" s="19" t="str">
        <x:v>NO_EVALUADA</x:v>
      </x:c>
      <x:c r="G225" s="19" t="str">
        <x:v>Pendiente de evaluación práctica independiente.</x:v>
      </x:c>
      <x:c r="H225" s="19" t="str">
        <x:v>Evaluación y artefacto reproducible pendientes.</x:v>
      </x:c>
    </x:row>
    <x:row r="226" ht="42" customHeight="1">
      <x:c r="A226" s="16" t="n">
        <x:v>28</x:v>
      </x:c>
      <x:c r="B226" s="16" t="str">
        <x:v>Nora Medina</x:v>
      </x:c>
      <x:c r="C226" s="21" t="str">
        <x:v>5a55fc5e-b0fd-52fc-b392-ff4af0dac554</x:v>
      </x:c>
      <x:c r="D226" s="21" t="str">
        <x:v>Pruebas de integración</x:v>
      </x:c>
      <x:c r="E226" s="21" t="n">
        <x:v>5</x:v>
      </x:c>
      <x:c r="F226" s="19" t="str">
        <x:v>NO_EVALUADA</x:v>
      </x:c>
      <x:c r="G226" s="19" t="str">
        <x:v>Pendiente de evaluación práctica independiente.</x:v>
      </x:c>
      <x:c r="H226" s="19" t="str">
        <x:v>Evaluación y artefacto reproducible pendientes.</x:v>
      </x:c>
    </x:row>
    <x:row r="227" ht="42" customHeight="1">
      <x:c r="A227" s="2" t="n">
        <x:v>28</x:v>
      </x:c>
      <x:c r="B227" s="2" t="str">
        <x:v>Nora Medina</x:v>
      </x:c>
      <x:c r="C227" s="22" t="str">
        <x:v>1cb3b4f8-22d2-5a47-94b6-b8ac9a59ca9d</x:v>
      </x:c>
      <x:c r="D227" s="22" t="str">
        <x:v>Concurrencia</x:v>
      </x:c>
      <x:c r="E227" s="22" t="n">
        <x:v>5</x:v>
      </x:c>
      <x:c r="F227" s="19" t="str">
        <x:v>NO_EVALUADA</x:v>
      </x:c>
      <x:c r="G227" s="19" t="str">
        <x:v>Pendiente de evaluación práctica independiente.</x:v>
      </x:c>
      <x:c r="H227" s="19" t="str">
        <x:v>Evaluación y artefacto reproducible pendientes.</x:v>
      </x:c>
    </x:row>
    <x:row r="228" ht="42" customHeight="1">
      <x:c r="A228" s="16" t="n">
        <x:v>28</x:v>
      </x:c>
      <x:c r="B228" s="16" t="str">
        <x:v>Nora Medina</x:v>
      </x:c>
      <x:c r="C228" s="21" t="str">
        <x:v>197ff2d9-763c-5cc6-9bbf-7478df7c492a</x:v>
      </x:c>
      <x:c r="D228" s="21" t="str">
        <x:v>Respuesta a incidentes</x:v>
      </x:c>
      <x:c r="E228" s="21" t="n">
        <x:v>5</x:v>
      </x:c>
      <x:c r="F228" s="19" t="str">
        <x:v>NO_EVALUADA</x:v>
      </x:c>
      <x:c r="G228" s="19" t="str">
        <x:v>Pendiente de evaluación práctica independiente.</x:v>
      </x:c>
      <x:c r="H228" s="19" t="str">
        <x:v>Evaluación y artefacto reproducible pendientes.</x:v>
      </x:c>
    </x:row>
    <x:row r="229" ht="42" customHeight="1">
      <x:c r="A229" s="2" t="n">
        <x:v>28</x:v>
      </x:c>
      <x:c r="B229" s="2" t="str">
        <x:v>Nora Medina</x:v>
      </x:c>
      <x:c r="C229" s="22" t="str">
        <x:v>f3c8196a-f80b-5461-80fc-27ad2e6a7e99</x:v>
      </x:c>
      <x:c r="D229" s="22" t="str">
        <x:v>Pruebas de propiedades</x:v>
      </x:c>
      <x:c r="E229" s="22" t="n">
        <x:v>5</x:v>
      </x:c>
      <x:c r="F229" s="19" t="str">
        <x:v>NO_EVALUADA</x:v>
      </x:c>
      <x:c r="G229" s="19" t="str">
        <x:v>Pendiente de evaluación práctica independiente.</x:v>
      </x:c>
      <x:c r="H229" s="19" t="str">
        <x:v>Evaluación y artefacto reproducible pendientes.</x:v>
      </x:c>
    </x:row>
    <x:row r="230" ht="42" customHeight="1">
      <x:c r="A230" s="16" t="n">
        <x:v>28</x:v>
      </x:c>
      <x:c r="B230" s="16" t="str">
        <x:v>Nora Medina</x:v>
      </x:c>
      <x:c r="C230" s="21" t="str">
        <x:v>6531302e-9901-547a-bc84-fd5205e287bc</x:v>
      </x:c>
      <x:c r="D230" s="21" t="str">
        <x:v>Gestión de mandatos</x:v>
      </x:c>
      <x:c r="E230" s="21" t="n">
        <x:v>5</x:v>
      </x:c>
      <x:c r="F230" s="19" t="str">
        <x:v>NO_EVALUADA</x:v>
      </x:c>
      <x:c r="G230" s="19" t="str">
        <x:v>Pendiente de evaluación práctica independiente.</x:v>
      </x:c>
      <x:c r="H230" s="19" t="str">
        <x:v>Evaluación y artefacto reproducible pendientes.</x:v>
      </x:c>
    </x:row>
    <x:row r="231" ht="42" customHeight="1">
      <x:c r="A231" s="2" t="n">
        <x:v>28</x:v>
      </x:c>
      <x:c r="B231" s="2" t="str">
        <x:v>Nora Medina</x:v>
      </x:c>
      <x:c r="C231" s="22" t="str">
        <x:v>edd544b1-1e79-5fcf-8288-c1ff88e004ef</x:v>
      </x:c>
      <x:c r="D231" s="22" t="str">
        <x:v>Trazabilidad de evidencia</x:v>
      </x:c>
      <x:c r="E231" s="22" t="n">
        <x:v>5</x:v>
      </x:c>
      <x:c r="F231" s="19" t="str">
        <x:v>NO_EVALUADA</x:v>
      </x:c>
      <x:c r="G231" s="19" t="str">
        <x:v>Pendiente de evaluación práctica independiente.</x:v>
      </x:c>
      <x:c r="H231" s="19" t="str">
        <x:v>Evaluación y artefacto reproducible pendientes.</x:v>
      </x:c>
    </x:row>
    <x:row r="232" ht="42" customHeight="1">
      <x:c r="A232" s="16" t="n">
        <x:v>28</x:v>
      </x:c>
      <x:c r="B232" s="16" t="str">
        <x:v>Nora Medina</x:v>
      </x:c>
      <x:c r="C232" s="21" t="str">
        <x:v>c9125256-8d9d-5e0e-aaa3-2578149f9395</x:v>
      </x:c>
      <x:c r="D232" s="21" t="str">
        <x:v>Gestión de errores</x:v>
      </x:c>
      <x:c r="E232" s="21" t="n">
        <x:v>5</x:v>
      </x:c>
      <x:c r="F232" s="19" t="str">
        <x:v>NO_EVALUADA</x:v>
      </x:c>
      <x:c r="G232" s="19" t="str">
        <x:v>Pendiente de evaluación práctica independiente.</x:v>
      </x:c>
      <x:c r="H232" s="19" t="str">
        <x:v>Evaluación y artefacto reproducible pendientes.</x:v>
      </x:c>
    </x:row>
    <x:row r="233" ht="42" customHeight="1">
      <x:c r="A233" s="2" t="n">
        <x:v>29</x:v>
      </x:c>
      <x:c r="B233" s="2" t="str">
        <x:v>Emilio Ponce</x:v>
      </x:c>
      <x:c r="C233" s="22" t="str">
        <x:v>baf04abd-bb65-543a-b217-6053e78a7757</x:v>
      </x:c>
      <x:c r="D233" s="22" t="str">
        <x:v>Documentación técnica</x:v>
      </x:c>
      <x:c r="E233" s="22" t="n">
        <x:v>5</x:v>
      </x:c>
      <x:c r="F233" s="19" t="str">
        <x:v>NO_EVALUADA</x:v>
      </x:c>
      <x:c r="G233" s="19" t="str">
        <x:v>Pendiente de evaluación práctica independiente.</x:v>
      </x:c>
      <x:c r="H233" s="19" t="str">
        <x:v>Evaluación y artefacto reproducible pendientes.</x:v>
      </x:c>
    </x:row>
    <x:row r="234" ht="42" customHeight="1">
      <x:c r="A234" s="16" t="n">
        <x:v>29</x:v>
      </x:c>
      <x:c r="B234" s="16" t="str">
        <x:v>Emilio Ponce</x:v>
      </x:c>
      <x:c r="C234" s="21" t="str">
        <x:v>83c1b322-68a2-582e-9f74-9f66ba816f05</x:v>
      </x:c>
      <x:c r="D234" s="21" t="str">
        <x:v>Ingeniería de requisitos</x:v>
      </x:c>
      <x:c r="E234" s="21" t="n">
        <x:v>5</x:v>
      </x:c>
      <x:c r="F234" s="19" t="str">
        <x:v>NO_EVALUADA</x:v>
      </x:c>
      <x:c r="G234" s="19" t="str">
        <x:v>Pendiente de evaluación práctica independiente.</x:v>
      </x:c>
      <x:c r="H234" s="19" t="str">
        <x:v>Evaluación y artefacto reproducible pendientes.</x:v>
      </x:c>
    </x:row>
    <x:row r="235" ht="42" customHeight="1">
      <x:c r="A235" s="2" t="n">
        <x:v>29</x:v>
      </x:c>
      <x:c r="B235" s="2" t="str">
        <x:v>Emilio Ponce</x:v>
      </x:c>
      <x:c r="C235" s="22" t="str">
        <x:v>7b735bcd-83a0-512d-b071-f17ff9555c94</x:v>
      </x:c>
      <x:c r="D235" s="22" t="str">
        <x:v>Diseño de procesos</x:v>
      </x:c>
      <x:c r="E235" s="22" t="n">
        <x:v>5</x:v>
      </x:c>
      <x:c r="F235" s="19" t="str">
        <x:v>NO_EVALUADA</x:v>
      </x:c>
      <x:c r="G235" s="19" t="str">
        <x:v>Pendiente de evaluación práctica independiente.</x:v>
      </x:c>
      <x:c r="H235" s="19" t="str">
        <x:v>Evaluación y artefacto reproducible pendientes.</x:v>
      </x:c>
    </x:row>
    <x:row r="236" ht="42" customHeight="1">
      <x:c r="A236" s="16" t="n">
        <x:v>29</x:v>
      </x:c>
      <x:c r="B236" s="16" t="str">
        <x:v>Emilio Ponce</x:v>
      </x:c>
      <x:c r="C236" s="21" t="str">
        <x:v>961ee1be-8068-52c8-bad4-fa256f8fd17e</x:v>
      </x:c>
      <x:c r="D236" s="21" t="str">
        <x:v>Captura de evidencia</x:v>
      </x:c>
      <x:c r="E236" s="21" t="n">
        <x:v>5</x:v>
      </x:c>
      <x:c r="F236" s="19" t="str">
        <x:v>NO_EVALUADA</x:v>
      </x:c>
      <x:c r="G236" s="19" t="str">
        <x:v>Pendiente de evaluación práctica independiente.</x:v>
      </x:c>
      <x:c r="H236" s="19" t="str">
        <x:v>Evaluación y artefacto reproducible pendientes.</x:v>
      </x:c>
    </x:row>
    <x:row r="237" ht="42" customHeight="1">
      <x:c r="A237" s="2" t="n">
        <x:v>29</x:v>
      </x:c>
      <x:c r="B237" s="2" t="str">
        <x:v>Emilio Ponce</x:v>
      </x:c>
      <x:c r="C237" s="22" t="str">
        <x:v>ccfc9a55-d3cc-5543-9550-ae2a48c4fc72</x:v>
      </x:c>
      <x:c r="D237" s="22" t="str">
        <x:v>Gestión de cambios</x:v>
      </x:c>
      <x:c r="E237" s="22" t="n">
        <x:v>5</x:v>
      </x:c>
      <x:c r="F237" s="19" t="str">
        <x:v>NO_EVALUADA</x:v>
      </x:c>
      <x:c r="G237" s="19" t="str">
        <x:v>Pendiente de evaluación práctica independiente.</x:v>
      </x:c>
      <x:c r="H237" s="19" t="str">
        <x:v>Evaluación y artefacto reproducible pendientes.</x:v>
      </x:c>
    </x:row>
    <x:row r="238" ht="42" customHeight="1">
      <x:c r="A238" s="16" t="n">
        <x:v>29</x:v>
      </x:c>
      <x:c r="B238" s="16" t="str">
        <x:v>Emilio Ponce</x:v>
      </x:c>
      <x:c r="C238" s="21" t="str">
        <x:v>6531302e-9901-547a-bc84-fd5205e287bc</x:v>
      </x:c>
      <x:c r="D238" s="21" t="str">
        <x:v>Gestión de mandatos</x:v>
      </x:c>
      <x:c r="E238" s="21" t="n">
        <x:v>5</x:v>
      </x:c>
      <x:c r="F238" s="19" t="str">
        <x:v>NO_EVALUADA</x:v>
      </x:c>
      <x:c r="G238" s="19" t="str">
        <x:v>Pendiente de evaluación práctica independiente.</x:v>
      </x:c>
      <x:c r="H238" s="19" t="str">
        <x:v>Evaluación y artefacto reproducible pendientes.</x:v>
      </x:c>
    </x:row>
    <x:row r="239" ht="42" customHeight="1">
      <x:c r="A239" s="2" t="n">
        <x:v>29</x:v>
      </x:c>
      <x:c r="B239" s="2" t="str">
        <x:v>Emilio Ponce</x:v>
      </x:c>
      <x:c r="C239" s="22" t="str">
        <x:v>edd544b1-1e79-5fcf-8288-c1ff88e004ef</x:v>
      </x:c>
      <x:c r="D239" s="22" t="str">
        <x:v>Trazabilidad de evidencia</x:v>
      </x:c>
      <x:c r="E239" s="22" t="n">
        <x:v>5</x:v>
      </x:c>
      <x:c r="F239" s="19" t="str">
        <x:v>NO_EVALUADA</x:v>
      </x:c>
      <x:c r="G239" s="19" t="str">
        <x:v>Pendiente de evaluación práctica independiente.</x:v>
      </x:c>
      <x:c r="H239" s="19" t="str">
        <x:v>Evaluación y artefacto reproducible pendientes.</x:v>
      </x:c>
    </x:row>
    <x:row r="240" ht="42" customHeight="1">
      <x:c r="A240" s="16" t="n">
        <x:v>29</x:v>
      </x:c>
      <x:c r="B240" s="16" t="str">
        <x:v>Emilio Ponce</x:v>
      </x:c>
      <x:c r="C240" s="21" t="str">
        <x:v>c9125256-8d9d-5e0e-aaa3-2578149f9395</x:v>
      </x:c>
      <x:c r="D240" s="21" t="str">
        <x:v>Gestión de errores</x:v>
      </x:c>
      <x:c r="E240" s="21" t="n">
        <x:v>5</x:v>
      </x:c>
      <x:c r="F240" s="19" t="str">
        <x:v>NO_EVALUADA</x:v>
      </x:c>
      <x:c r="G240" s="19" t="str">
        <x:v>Pendiente de evaluación práctica independiente.</x:v>
      </x:c>
      <x:c r="H240" s="19" t="str">
        <x:v>Evaluación y artefacto reproducible pendientes.</x:v>
      </x:c>
    </x:row>
    <x:row r="241" ht="42" customHeight="1">
      <x:c r="A241" s="2" t="n">
        <x:v>30</x:v>
      </x:c>
      <x:c r="B241" s="2" t="str">
        <x:v>Álvaro Del Valle</x:v>
      </x:c>
      <x:c r="C241" s="22" t="str">
        <x:v>de6b164e-c335-587f-9aef-bb63f3e12c8a</x:v>
      </x:c>
      <x:c r="D241" s="22" t="str">
        <x:v>Búsqueda</x:v>
      </x:c>
      <x:c r="E241" s="22" t="n">
        <x:v>5</x:v>
      </x:c>
      <x:c r="F241" s="19" t="str">
        <x:v>NO_EVALUADA</x:v>
      </x:c>
      <x:c r="G241" s="19" t="str">
        <x:v>Pendiente de evaluación práctica independiente.</x:v>
      </x:c>
      <x:c r="H241" s="19" t="str">
        <x:v>Evaluación y artefacto reproducible pendientes.</x:v>
      </x:c>
    </x:row>
    <x:row r="242" ht="42" customHeight="1">
      <x:c r="A242" s="16" t="n">
        <x:v>30</x:v>
      </x:c>
      <x:c r="B242" s="16" t="str">
        <x:v>Álvaro Del Valle</x:v>
      </x:c>
      <x:c r="C242" s="21" t="str">
        <x:v>e11177a5-c8ee-5bb5-9ab0-8d0e0c684edf</x:v>
      </x:c>
      <x:c r="D242" s="21" t="str">
        <x:v>Evaluación de agentes</x:v>
      </x:c>
      <x:c r="E242" s="21" t="n">
        <x:v>5</x:v>
      </x:c>
      <x:c r="F242" s="19" t="str">
        <x:v>NO_EVALUADA</x:v>
      </x:c>
      <x:c r="G242" s="19" t="str">
        <x:v>Pendiente de evaluación práctica independiente.</x:v>
      </x:c>
      <x:c r="H242" s="19" t="str">
        <x:v>Evaluación y artefacto reproducible pendientes.</x:v>
      </x:c>
    </x:row>
    <x:row r="243" ht="42" customHeight="1">
      <x:c r="A243" s="2" t="n">
        <x:v>30</x:v>
      </x:c>
      <x:c r="B243" s="2" t="str">
        <x:v>Álvaro Del Valle</x:v>
      </x:c>
      <x:c r="C243" s="22" t="str">
        <x:v>fd6383cc-d3bd-533b-9ca3-6bc625af53f0</x:v>
      </x:c>
      <x:c r="D243" s="22" t="str">
        <x:v>Calidad de datos</x:v>
      </x:c>
      <x:c r="E243" s="22" t="n">
        <x:v>5</x:v>
      </x:c>
      <x:c r="F243" s="19" t="str">
        <x:v>NO_EVALUADA</x:v>
      </x:c>
      <x:c r="G243" s="19" t="str">
        <x:v>Pendiente de evaluación práctica independiente.</x:v>
      </x:c>
      <x:c r="H243" s="19" t="str">
        <x:v>Evaluación y artefacto reproducible pendientes.</x:v>
      </x:c>
    </x:row>
    <x:row r="244" ht="42" customHeight="1">
      <x:c r="A244" s="16" t="n">
        <x:v>30</x:v>
      </x:c>
      <x:c r="B244" s="16" t="str">
        <x:v>Álvaro Del Valle</x:v>
      </x:c>
      <x:c r="C244" s="21" t="str">
        <x:v>9f79a24a-7639-5400-a902-7a40d64bb98c</x:v>
      </x:c>
      <x:c r="D244" s="21" t="str">
        <x:v>Optimización</x:v>
      </x:c>
      <x:c r="E244" s="21" t="n">
        <x:v>5</x:v>
      </x:c>
      <x:c r="F244" s="19" t="str">
        <x:v>NO_EVALUADA</x:v>
      </x:c>
      <x:c r="G244" s="19" t="str">
        <x:v>Pendiente de evaluación práctica independiente.</x:v>
      </x:c>
      <x:c r="H244" s="19" t="str">
        <x:v>Evaluación y artefacto reproducible pendientes.</x:v>
      </x:c>
    </x:row>
    <x:row r="245" ht="42" customHeight="1">
      <x:c r="A245" s="2" t="n">
        <x:v>30</x:v>
      </x:c>
      <x:c r="B245" s="2" t="str">
        <x:v>Álvaro Del Valle</x:v>
      </x:c>
      <x:c r="C245" s="22" t="str">
        <x:v>43abe2b4-f748-53e0-9f99-2643de330a61</x:v>
      </x:c>
      <x:c r="D245" s="22" t="str">
        <x:v>Proveniencia de datos</x:v>
      </x:c>
      <x:c r="E245" s="22" t="n">
        <x:v>5</x:v>
      </x:c>
      <x:c r="F245" s="19" t="str">
        <x:v>NO_EVALUADA</x:v>
      </x:c>
      <x:c r="G245" s="19" t="str">
        <x:v>Pendiente de evaluación práctica independiente.</x:v>
      </x:c>
      <x:c r="H245" s="19" t="str">
        <x:v>Evaluación y artefacto reproducible pendientes.</x:v>
      </x:c>
    </x:row>
    <x:row r="246" ht="42" customHeight="1">
      <x:c r="A246" s="16" t="n">
        <x:v>30</x:v>
      </x:c>
      <x:c r="B246" s="16" t="str">
        <x:v>Álvaro Del Valle</x:v>
      </x:c>
      <x:c r="C246" s="21" t="str">
        <x:v>6531302e-9901-547a-bc84-fd5205e287bc</x:v>
      </x:c>
      <x:c r="D246" s="21" t="str">
        <x:v>Gestión de mandatos</x:v>
      </x:c>
      <x:c r="E246" s="21" t="n">
        <x:v>5</x:v>
      </x:c>
      <x:c r="F246" s="19" t="str">
        <x:v>NO_EVALUADA</x:v>
      </x:c>
      <x:c r="G246" s="19" t="str">
        <x:v>Pendiente de evaluación práctica independiente.</x:v>
      </x:c>
      <x:c r="H246" s="19" t="str">
        <x:v>Evaluación y artefacto reproducible pendientes.</x:v>
      </x:c>
    </x:row>
    <x:row r="247" ht="42" customHeight="1">
      <x:c r="A247" s="2" t="n">
        <x:v>30</x:v>
      </x:c>
      <x:c r="B247" s="2" t="str">
        <x:v>Álvaro Del Valle</x:v>
      </x:c>
      <x:c r="C247" s="22" t="str">
        <x:v>edd544b1-1e79-5fcf-8288-c1ff88e004ef</x:v>
      </x:c>
      <x:c r="D247" s="22" t="str">
        <x:v>Trazabilidad de evidencia</x:v>
      </x:c>
      <x:c r="E247" s="22" t="n">
        <x:v>5</x:v>
      </x:c>
      <x:c r="F247" s="19" t="str">
        <x:v>NO_EVALUADA</x:v>
      </x:c>
      <x:c r="G247" s="19" t="str">
        <x:v>Pendiente de evaluación práctica independiente.</x:v>
      </x:c>
      <x:c r="H247" s="19" t="str">
        <x:v>Evaluación y artefacto reproducible pendientes.</x:v>
      </x:c>
    </x:row>
    <x:row r="248" ht="42" customHeight="1">
      <x:c r="A248" s="16" t="n">
        <x:v>30</x:v>
      </x:c>
      <x:c r="B248" s="16" t="str">
        <x:v>Álvaro Del Valle</x:v>
      </x:c>
      <x:c r="C248" s="21" t="str">
        <x:v>c9125256-8d9d-5e0e-aaa3-2578149f9395</x:v>
      </x:c>
      <x:c r="D248" s="21" t="str">
        <x:v>Gestión de errores</x:v>
      </x:c>
      <x:c r="E248" s="21" t="n">
        <x:v>5</x:v>
      </x:c>
      <x:c r="F248" s="19" t="str">
        <x:v>NO_EVALUADA</x:v>
      </x:c>
      <x:c r="G248" s="19" t="str">
        <x:v>Pendiente de evaluación práctica independiente.</x:v>
      </x:c>
      <x:c r="H248" s="19" t="str">
        <x:v>Evaluación y artefacto reproducible pendientes.</x:v>
      </x:c>
    </x:row>
    <x:row r="249" ht="42" customHeight="1">
      <x:c r="A249" s="2" t="n">
        <x:v>31</x:v>
      </x:c>
      <x:c r="B249" s="2" t="str">
        <x:v>León Arenas</x:v>
      </x:c>
      <x:c r="C249" s="22" t="str">
        <x:v>3905d181-ee6d-5201-afcb-149a1b021cc5</x:v>
      </x:c>
      <x:c r="D249" s="22" t="str">
        <x:v>Presupuestos de recursos</x:v>
      </x:c>
      <x:c r="E249" s="22" t="n">
        <x:v>5</x:v>
      </x:c>
      <x:c r="F249" s="19" t="str">
        <x:v>NO_EVALUADA</x:v>
      </x:c>
      <x:c r="G249" s="19" t="str">
        <x:v>Pendiente de evaluación práctica independiente.</x:v>
      </x:c>
      <x:c r="H249" s="19" t="str">
        <x:v>Evaluación y artefacto reproducible pendientes.</x:v>
      </x:c>
    </x:row>
    <x:row r="250" ht="42" customHeight="1">
      <x:c r="A250" s="16" t="n">
        <x:v>31</x:v>
      </x:c>
      <x:c r="B250" s="16" t="str">
        <x:v>León Arenas</x:v>
      </x:c>
      <x:c r="C250" s="21" t="str">
        <x:v>7dcf25e9-0625-5f9a-8ac4-d4e6c9fce9f0</x:v>
      </x:c>
      <x:c r="D250" s="21" t="str">
        <x:v>Capacidad</x:v>
      </x:c>
      <x:c r="E250" s="21" t="n">
        <x:v>5</x:v>
      </x:c>
      <x:c r="F250" s="19" t="str">
        <x:v>NO_EVALUADA</x:v>
      </x:c>
      <x:c r="G250" s="19" t="str">
        <x:v>Pendiente de evaluación práctica independiente.</x:v>
      </x:c>
      <x:c r="H250" s="19" t="str">
        <x:v>Evaluación y artefacto reproducible pendientes.</x:v>
      </x:c>
    </x:row>
    <x:row r="251" ht="42" customHeight="1">
      <x:c r="A251" s="2" t="n">
        <x:v>31</x:v>
      </x:c>
      <x:c r="B251" s="2" t="str">
        <x:v>León Arenas</x:v>
      </x:c>
      <x:c r="C251" s="22" t="str">
        <x:v>370f1ce1-491d-5a28-9d66-58ca5cca79ed</x:v>
      </x:c>
      <x:c r="D251" s="22" t="str">
        <x:v>Métricas de producto</x:v>
      </x:c>
      <x:c r="E251" s="22" t="n">
        <x:v>5</x:v>
      </x:c>
      <x:c r="F251" s="19" t="str">
        <x:v>NO_EVALUADA</x:v>
      </x:c>
      <x:c r="G251" s="19" t="str">
        <x:v>Pendiente de evaluación práctica independiente.</x:v>
      </x:c>
      <x:c r="H251" s="19" t="str">
        <x:v>Evaluación y artefacto reproducible pendientes.</x:v>
      </x:c>
    </x:row>
    <x:row r="252" ht="42" customHeight="1">
      <x:c r="A252" s="16" t="n">
        <x:v>31</x:v>
      </x:c>
      <x:c r="B252" s="16" t="str">
        <x:v>León Arenas</x:v>
      </x:c>
      <x:c r="C252" s="21" t="str">
        <x:v>6b5e82bb-15a8-5b8b-bf23-ec0fda1a9054</x:v>
      </x:c>
      <x:c r="D252" s="21" t="str">
        <x:v>Análisis de sensibilidad</x:v>
      </x:c>
      <x:c r="E252" s="21" t="n">
        <x:v>5</x:v>
      </x:c>
      <x:c r="F252" s="19" t="str">
        <x:v>NO_EVALUADA</x:v>
      </x:c>
      <x:c r="G252" s="19" t="str">
        <x:v>Pendiente de evaluación práctica independiente.</x:v>
      </x:c>
      <x:c r="H252" s="19" t="str">
        <x:v>Evaluación y artefacto reproducible pendientes.</x:v>
      </x:c>
    </x:row>
    <x:row r="253" ht="42" customHeight="1">
      <x:c r="A253" s="2" t="n">
        <x:v>31</x:v>
      </x:c>
      <x:c r="B253" s="2" t="str">
        <x:v>León Arenas</x:v>
      </x:c>
      <x:c r="C253" s="22" t="str">
        <x:v>7c65ae99-5c83-560e-ab9c-aaf1ddc2aa4e</x:v>
      </x:c>
      <x:c r="D253" s="22" t="str">
        <x:v>Priorización basada en evidencia</x:v>
      </x:c>
      <x:c r="E253" s="22" t="n">
        <x:v>5</x:v>
      </x:c>
      <x:c r="F253" s="19" t="str">
        <x:v>NO_EVALUADA</x:v>
      </x:c>
      <x:c r="G253" s="19" t="str">
        <x:v>Pendiente de evaluación práctica independiente.</x:v>
      </x:c>
      <x:c r="H253" s="19" t="str">
        <x:v>Evaluación y artefacto reproducible pendientes.</x:v>
      </x:c>
    </x:row>
    <x:row r="254" ht="42" customHeight="1">
      <x:c r="A254" s="16" t="n">
        <x:v>31</x:v>
      </x:c>
      <x:c r="B254" s="16" t="str">
        <x:v>León Arenas</x:v>
      </x:c>
      <x:c r="C254" s="21" t="str">
        <x:v>6531302e-9901-547a-bc84-fd5205e287bc</x:v>
      </x:c>
      <x:c r="D254" s="21" t="str">
        <x:v>Gestión de mandatos</x:v>
      </x:c>
      <x:c r="E254" s="21" t="n">
        <x:v>5</x:v>
      </x:c>
      <x:c r="F254" s="19" t="str">
        <x:v>NO_EVALUADA</x:v>
      </x:c>
      <x:c r="G254" s="19" t="str">
        <x:v>Pendiente de evaluación práctica independiente.</x:v>
      </x:c>
      <x:c r="H254" s="19" t="str">
        <x:v>Evaluación y artefacto reproducible pendientes.</x:v>
      </x:c>
    </x:row>
    <x:row r="255" ht="42" customHeight="1">
      <x:c r="A255" s="2" t="n">
        <x:v>31</x:v>
      </x:c>
      <x:c r="B255" s="2" t="str">
        <x:v>León Arenas</x:v>
      </x:c>
      <x:c r="C255" s="22" t="str">
        <x:v>edd544b1-1e79-5fcf-8288-c1ff88e004ef</x:v>
      </x:c>
      <x:c r="D255" s="22" t="str">
        <x:v>Trazabilidad de evidencia</x:v>
      </x:c>
      <x:c r="E255" s="22" t="n">
        <x:v>5</x:v>
      </x:c>
      <x:c r="F255" s="19" t="str">
        <x:v>NO_EVALUADA</x:v>
      </x:c>
      <x:c r="G255" s="19" t="str">
        <x:v>Pendiente de evaluación práctica independiente.</x:v>
      </x:c>
      <x:c r="H255" s="19" t="str">
        <x:v>Evaluación y artefacto reproducible pendientes.</x:v>
      </x:c>
    </x:row>
    <x:row r="256" ht="42" customHeight="1">
      <x:c r="A256" s="16" t="n">
        <x:v>31</x:v>
      </x:c>
      <x:c r="B256" s="16" t="str">
        <x:v>León Arenas</x:v>
      </x:c>
      <x:c r="C256" s="21" t="str">
        <x:v>c9125256-8d9d-5e0e-aaa3-2578149f9395</x:v>
      </x:c>
      <x:c r="D256" s="21" t="str">
        <x:v>Gestión de errores</x:v>
      </x:c>
      <x:c r="E256" s="21" t="n">
        <x:v>5</x:v>
      </x:c>
      <x:c r="F256" s="19" t="str">
        <x:v>NO_EVALUADA</x:v>
      </x:c>
      <x:c r="G256" s="19" t="str">
        <x:v>Pendiente de evaluación práctica independiente.</x:v>
      </x:c>
      <x:c r="H256" s="19" t="str">
        <x:v>Evaluación y artefacto reproducible pendientes.</x:v>
      </x:c>
    </x:row>
    <x:row r="257" ht="42" customHeight="1">
      <x:c r="A257" s="2" t="n">
        <x:v>32</x:v>
      </x:c>
      <x:c r="B257" s="2" t="str">
        <x:v>Marta Cifuentes</x:v>
      </x:c>
      <x:c r="C257" s="22" t="str">
        <x:v>b10d7d55-6033-50d3-89b0-a9bf422ccc7a</x:v>
      </x:c>
      <x:c r="D257" s="22" t="str">
        <x:v>Interfaces móviles</x:v>
      </x:c>
      <x:c r="E257" s="22" t="n">
        <x:v>5</x:v>
      </x:c>
      <x:c r="F257" s="19" t="str">
        <x:v>NO_EVALUADA</x:v>
      </x:c>
      <x:c r="G257" s="19" t="str">
        <x:v>Pendiente de evaluación práctica independiente.</x:v>
      </x:c>
      <x:c r="H257" s="19" t="str">
        <x:v>Evaluación y artefacto reproducible pendientes.</x:v>
      </x:c>
    </x:row>
    <x:row r="258" ht="42" customHeight="1">
      <x:c r="A258" s="16" t="n">
        <x:v>32</x:v>
      </x:c>
      <x:c r="B258" s="16" t="str">
        <x:v>Marta Cifuentes</x:v>
      </x:c>
      <x:c r="C258" s="21" t="str">
        <x:v>719d5bae-b403-5268-bcfc-101f02c8e4f7</x:v>
      </x:c>
      <x:c r="D258" s="21" t="str">
        <x:v>Accesibilidad</x:v>
      </x:c>
      <x:c r="E258" s="21" t="n">
        <x:v>5</x:v>
      </x:c>
      <x:c r="F258" s="19" t="str">
        <x:v>NO_EVALUADA</x:v>
      </x:c>
      <x:c r="G258" s="19" t="str">
        <x:v>Pendiente de evaluación práctica independiente.</x:v>
      </x:c>
      <x:c r="H258" s="19" t="str">
        <x:v>Evaluación y artefacto reproducible pendientes.</x:v>
      </x:c>
    </x:row>
    <x:row r="259" ht="42" customHeight="1">
      <x:c r="A259" s="2" t="n">
        <x:v>32</x:v>
      </x:c>
      <x:c r="B259" s="2" t="str">
        <x:v>Marta Cifuentes</x:v>
      </x:c>
      <x:c r="C259" s="22" t="str">
        <x:v>c751ce6c-63e8-53e4-8559-bc559738f214</x:v>
      </x:c>
      <x:c r="D259" s="22" t="str">
        <x:v>Gestión de estado</x:v>
      </x:c>
      <x:c r="E259" s="22" t="n">
        <x:v>5</x:v>
      </x:c>
      <x:c r="F259" s="19" t="str">
        <x:v>NO_EVALUADA</x:v>
      </x:c>
      <x:c r="G259" s="19" t="str">
        <x:v>Pendiente de evaluación práctica independiente.</x:v>
      </x:c>
      <x:c r="H259" s="19" t="str">
        <x:v>Evaluación y artefacto reproducible pendientes.</x:v>
      </x:c>
    </x:row>
    <x:row r="260" ht="42" customHeight="1">
      <x:c r="A260" s="16" t="n">
        <x:v>32</x:v>
      </x:c>
      <x:c r="B260" s="16" t="str">
        <x:v>Marta Cifuentes</x:v>
      </x:c>
      <x:c r="C260" s="21" t="str">
        <x:v>512e20bc-92ff-56ee-b0a5-e4d2680d0a4f</x:v>
      </x:c>
      <x:c r="D260" s="21" t="str">
        <x:v>Compatibilidad</x:v>
      </x:c>
      <x:c r="E260" s="21" t="n">
        <x:v>5</x:v>
      </x:c>
      <x:c r="F260" s="19" t="str">
        <x:v>NO_EVALUADA</x:v>
      </x:c>
      <x:c r="G260" s="19" t="str">
        <x:v>Pendiente de evaluación práctica independiente.</x:v>
      </x:c>
      <x:c r="H260" s="19" t="str">
        <x:v>Evaluación y artefacto reproducible pendientes.</x:v>
      </x:c>
    </x:row>
    <x:row r="261" ht="42" customHeight="1">
      <x:c r="A261" s="2" t="n">
        <x:v>32</x:v>
      </x:c>
      <x:c r="B261" s="2" t="str">
        <x:v>Marta Cifuentes</x:v>
      </x:c>
      <x:c r="C261" s="22" t="str">
        <x:v>78c896e2-84be-5e05-97bc-c1958a942735</x:v>
      </x:c>
      <x:c r="D261" s="22" t="str">
        <x:v>Pruebas de interfaz</x:v>
      </x:c>
      <x:c r="E261" s="22" t="n">
        <x:v>5</x:v>
      </x:c>
      <x:c r="F261" s="19" t="str">
        <x:v>NO_EVALUADA</x:v>
      </x:c>
      <x:c r="G261" s="19" t="str">
        <x:v>Pendiente de evaluación práctica independiente.</x:v>
      </x:c>
      <x:c r="H261" s="19" t="str">
        <x:v>Evaluación y artefacto reproducible pendientes.</x:v>
      </x:c>
    </x:row>
    <x:row r="262" ht="42" customHeight="1">
      <x:c r="A262" s="16" t="n">
        <x:v>32</x:v>
      </x:c>
      <x:c r="B262" s="16" t="str">
        <x:v>Marta Cifuentes</x:v>
      </x:c>
      <x:c r="C262" s="21" t="str">
        <x:v>6531302e-9901-547a-bc84-fd5205e287bc</x:v>
      </x:c>
      <x:c r="D262" s="21" t="str">
        <x:v>Gestión de mandatos</x:v>
      </x:c>
      <x:c r="E262" s="21" t="n">
        <x:v>5</x:v>
      </x:c>
      <x:c r="F262" s="19" t="str">
        <x:v>NO_EVALUADA</x:v>
      </x:c>
      <x:c r="G262" s="19" t="str">
        <x:v>Pendiente de evaluación práctica independiente.</x:v>
      </x:c>
      <x:c r="H262" s="19" t="str">
        <x:v>Evaluación y artefacto reproducible pendientes.</x:v>
      </x:c>
    </x:row>
    <x:row r="263" ht="42" customHeight="1">
      <x:c r="A263" s="2" t="n">
        <x:v>32</x:v>
      </x:c>
      <x:c r="B263" s="2" t="str">
        <x:v>Marta Cifuentes</x:v>
      </x:c>
      <x:c r="C263" s="22" t="str">
        <x:v>edd544b1-1e79-5fcf-8288-c1ff88e004ef</x:v>
      </x:c>
      <x:c r="D263" s="22" t="str">
        <x:v>Trazabilidad de evidencia</x:v>
      </x:c>
      <x:c r="E263" s="22" t="n">
        <x:v>5</x:v>
      </x:c>
      <x:c r="F263" s="19" t="str">
        <x:v>NO_EVALUADA</x:v>
      </x:c>
      <x:c r="G263" s="19" t="str">
        <x:v>Pendiente de evaluación práctica independiente.</x:v>
      </x:c>
      <x:c r="H263" s="19" t="str">
        <x:v>Evaluación y artefacto reproducible pendientes.</x:v>
      </x:c>
    </x:row>
    <x:row r="264" ht="42" customHeight="1">
      <x:c r="A264" s="16" t="n">
        <x:v>32</x:v>
      </x:c>
      <x:c r="B264" s="16" t="str">
        <x:v>Marta Cifuentes</x:v>
      </x:c>
      <x:c r="C264" s="21" t="str">
        <x:v>c9125256-8d9d-5e0e-aaa3-2578149f9395</x:v>
      </x:c>
      <x:c r="D264" s="21" t="str">
        <x:v>Gestión de errores</x:v>
      </x:c>
      <x:c r="E264" s="21" t="n">
        <x:v>5</x:v>
      </x:c>
      <x:c r="F264" s="19" t="str">
        <x:v>NO_EVALUADA</x:v>
      </x:c>
      <x:c r="G264" s="19" t="str">
        <x:v>Pendiente de evaluación práctica independiente.</x:v>
      </x:c>
      <x:c r="H264" s="19" t="str">
        <x:v>Evaluación y artefacto reproducible pendientes.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40" hidden="0" customWidth="1"/>
    <x:col min="3" max="3" width="40" hidden="0" customWidth="1"/>
    <x:col min="4" max="4" width="25" hidden="0" customWidth="1"/>
    <x:col min="5" max="5" width="28" hidden="0" customWidth="1"/>
    <x:col min="6" max="6" width="30" hidden="0" customWidth="1"/>
    <x:col min="7" max="7" width="17" hidden="0" customWidth="1"/>
    <x:col min="8" max="8" width="65" hidden="0" customWidth="1"/>
    <x:col min="9" max="9" width="26" hidden="0" customWidth="1"/>
    <x:col min="10" max="10" width="27" hidden="0" customWidth="1"/>
    <x:col min="11" max="11" width="28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3" t="str">
        <x:v>Asignación de modelos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5" customHeight="1">
      <x:c r="A4" s="25" t="str">
        <x:v>D/E: reemplaza la fórmula para fijar una selección manual. I/J/K: recomendaciones del motor; el catálogo verifica proveedor y modelo.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13" t="str">
        <x:v>Slot</x:v>
      </x:c>
      <x:c r="B5" s="14" t="str">
        <x:v>ID estable</x:v>
      </x:c>
      <x:c r="C5" s="14" t="str">
        <x:v>Cargo</x:v>
      </x:c>
      <x:c r="D5" s="14" t="str">
        <x:v>Proveedor</x:v>
      </x:c>
      <x:c r="E5" s="14" t="str">
        <x:v>Modelo</x:v>
      </x:c>
      <x:c r="F5" s="14" t="str">
        <x:v>Disponibilidad</x:v>
      </x:c>
      <x:c r="G5" s="14" t="str">
        <x:v>Prioridad usuario</x:v>
      </x:c>
      <x:c r="H5" s="14" t="str">
        <x:v>Nota</x:v>
      </x:c>
      <x:c r="I5" s="14" t="str">
        <x:v>Origen selección</x:v>
      </x:c>
      <x:c r="J5" s="14" t="str">
        <x:v>Proveedor sugerido</x:v>
      </x:c>
      <x:c r="K5" s="15" t="str">
        <x:v>Modelo sugerido</x:v>
      </x:c>
    </x:row>
    <x:row r="6" ht="44" customHeight="1">
      <x:c r="A6" s="16" t="n">
        <x:v>1</x:v>
      </x:c>
      <x:c r="B6" s="16" t="str">
        <x:v>bb4f7927-7d2f-4ff7-a467-dc999ac59c2a</x:v>
      </x:c>
      <x:c r="C6" s="21" t="str">
        <x:v>CEO · Dirección de entrega</x:v>
      </x:c>
      <x:c r="D6" s="19" t="str">
        <x:f>IF(J6&lt;&gt;"",J6,'Configuracion'!$B$11)</x:f>
        <x:v>deepseek-official</x:v>
      </x:c>
      <x:c r="E6" s="19" t="str">
        <x:f>IF(K6&lt;&gt;"",K6,'Configuracion'!$B$12)</x:f>
        <x:v>deepseek-flash</x:v>
      </x:c>
      <x:c r="F6" s="21" t="str">
        <x:f>IF(OR(D6="",E6=""),"FALTA ASIGNACION",IF(COUNTIFS('Modelos'!$A$6:$A$205,D6,'Modelos'!$B$6:$B$205,E6)&gt;1,"CATALOGO_DUPLICADO",IF(COUNTIFS('Modelos'!$A$6:$A$205,D6,'Modelos'!$B$6:$B$205,E6,'Modelos'!$D$6:$D$205,"AVAILABLE")=1,"AVAILABLE",IF(COUNTIFS('Modelos'!$A$6:$A$205,D6,'Modelos'!$B$6:$B$205,E6,'Modelos'!$D$6:$D$205,"UNAVAILABLE")=1,"UNAVAILABLE",IF(COUNTIFS('Modelos'!$A$6:$A$205,D6,'Modelos'!$B$6:$B$205,E6)=1,"UNVERIFIED","NO_EN_CATALOGO")))))</x:f>
        <x:v>UNVERIFIED</x:v>
      </x:c>
      <x:c r="G6" s="19" t="n">
        <x:v>1</x:v>
      </x:c>
      <x:c r="H6" s="19" t="str">
        <x:v>Selección inicial pendiente de verificación API.</x:v>
      </x:c>
      <x:c r="I6" s="16" t="str">
        <x:v>global_default</x:v>
      </x:c>
      <x:c r="J6" s="16" t="str"/>
      <x:c r="K6" s="16" t="str"/>
    </x:row>
    <x:row r="7" ht="44" customHeight="1">
      <x:c r="A7" s="2" t="n">
        <x:v>2</x:v>
      </x:c>
      <x:c r="B7" s="2" t="str">
        <x:v>2e4033f6-9f72-5c6b-9180-6e9aa1efcf9f</x:v>
      </x:c>
      <x:c r="C7" s="22" t="str">
        <x:v>CTO · Dirección de ingeniería y arquitectura</x:v>
      </x:c>
      <x:c r="D7" s="19" t="str">
        <x:f>IF(J7&lt;&gt;"",J7,'Configuracion'!$B$11)</x:f>
        <x:v>deepseek-official</x:v>
      </x:c>
      <x:c r="E7" s="19" t="str">
        <x:f>IF(K7&lt;&gt;"",K7,'Configuracion'!$B$12)</x:f>
        <x:v>deepseek-flash</x:v>
      </x:c>
      <x:c r="F7" s="22" t="str">
        <x:f>IF(OR(D7="",E7=""),"FALTA ASIGNACION",IF(COUNTIFS('Modelos'!$A$6:$A$205,D7,'Modelos'!$B$6:$B$205,E7)&gt;1,"CATALOGO_DUPLICADO",IF(COUNTIFS('Modelos'!$A$6:$A$205,D7,'Modelos'!$B$6:$B$205,E7,'Modelos'!$D$6:$D$205,"AVAILABLE")=1,"AVAILABLE",IF(COUNTIFS('Modelos'!$A$6:$A$205,D7,'Modelos'!$B$6:$B$205,E7,'Modelos'!$D$6:$D$205,"UNAVAILABLE")=1,"UNAVAILABLE",IF(COUNTIFS('Modelos'!$A$6:$A$205,D7,'Modelos'!$B$6:$B$205,E7)=1,"UNVERIFIED","NO_EN_CATALOGO")))))</x:f>
        <x:v>UNVERIFIED</x:v>
      </x:c>
      <x:c r="G7" s="19" t="n">
        <x:v>1</x:v>
      </x:c>
      <x:c r="H7" s="19" t="str">
        <x:v>Selección inicial pendiente de verificación API.</x:v>
      </x:c>
      <x:c r="I7" s="2" t="str">
        <x:v>global_default</x:v>
      </x:c>
      <x:c r="J7" s="2" t="str"/>
      <x:c r="K7" s="2" t="str"/>
    </x:row>
    <x:row r="8" ht="44" customHeight="1">
      <x:c r="A8" s="16" t="n">
        <x:v>3</x:v>
      </x:c>
      <x:c r="B8" s="16" t="str">
        <x:v>d37e22a3-3427-53f5-a11b-2f741d9ee58a</x:v>
      </x:c>
      <x:c r="C8" s="21" t="str">
        <x:v>Dirección de aseguramiento y calidad</x:v>
      </x:c>
      <x:c r="D8" s="19" t="str">
        <x:f>IF(J8&lt;&gt;"",J8,'Configuracion'!$B$11)</x:f>
        <x:v>deepseek-official</x:v>
      </x:c>
      <x:c r="E8" s="19" t="str">
        <x:f>IF(K8&lt;&gt;"",K8,'Configuracion'!$B$12)</x:f>
        <x:v>deepseek-flash</x:v>
      </x:c>
      <x:c r="F8" s="21" t="str">
        <x:f>IF(OR(D8="",E8=""),"FALTA ASIGNACION",IF(COUNTIFS('Modelos'!$A$6:$A$205,D8,'Modelos'!$B$6:$B$205,E8)&gt;1,"CATALOGO_DUPLICADO",IF(COUNTIFS('Modelos'!$A$6:$A$205,D8,'Modelos'!$B$6:$B$205,E8,'Modelos'!$D$6:$D$205,"AVAILABLE")=1,"AVAILABLE",IF(COUNTIFS('Modelos'!$A$6:$A$205,D8,'Modelos'!$B$6:$B$205,E8,'Modelos'!$D$6:$D$205,"UNAVAILABLE")=1,"UNAVAILABLE",IF(COUNTIFS('Modelos'!$A$6:$A$205,D8,'Modelos'!$B$6:$B$205,E8)=1,"UNVERIFIED","NO_EN_CATALOGO")))))</x:f>
        <x:v>UNVERIFIED</x:v>
      </x:c>
      <x:c r="G8" s="19" t="n">
        <x:v>1</x:v>
      </x:c>
      <x:c r="H8" s="19" t="str">
        <x:v>Selección inicial pendiente de verificación API.</x:v>
      </x:c>
      <x:c r="I8" s="16" t="str">
        <x:v>global_default</x:v>
      </x:c>
      <x:c r="J8" s="16" t="str"/>
      <x:c r="K8" s="16" t="str"/>
    </x:row>
    <x:row r="9" ht="44" customHeight="1">
      <x:c r="A9" s="2" t="n">
        <x:v>4</x:v>
      </x:c>
      <x:c r="B9" s="2" t="str">
        <x:v>039fa8c8-ba62-5929-837c-dd6480445976</x:v>
      </x:c>
      <x:c r="C9" s="22" t="str">
        <x:v>Dirección de operaciones y mandatos</x:v>
      </x:c>
      <x:c r="D9" s="19" t="str">
        <x:f>IF(J9&lt;&gt;"",J9,'Configuracion'!$B$11)</x:f>
        <x:v>deepseek-official</x:v>
      </x:c>
      <x:c r="E9" s="19" t="str">
        <x:f>IF(K9&lt;&gt;"",K9,'Configuracion'!$B$12)</x:f>
        <x:v>deepseek-flash</x:v>
      </x:c>
      <x:c r="F9" s="22" t="str">
        <x:f>IF(OR(D9="",E9=""),"FALTA ASIGNACION",IF(COUNTIFS('Modelos'!$A$6:$A$205,D9,'Modelos'!$B$6:$B$205,E9)&gt;1,"CATALOGO_DUPLICADO",IF(COUNTIFS('Modelos'!$A$6:$A$205,D9,'Modelos'!$B$6:$B$205,E9,'Modelos'!$D$6:$D$205,"AVAILABLE")=1,"AVAILABLE",IF(COUNTIFS('Modelos'!$A$6:$A$205,D9,'Modelos'!$B$6:$B$205,E9,'Modelos'!$D$6:$D$205,"UNAVAILABLE")=1,"UNAVAILABLE",IF(COUNTIFS('Modelos'!$A$6:$A$205,D9,'Modelos'!$B$6:$B$205,E9)=1,"UNVERIFIED","NO_EN_CATALOGO")))))</x:f>
        <x:v>UNVERIFIED</x:v>
      </x:c>
      <x:c r="G9" s="19" t="n">
        <x:v>1</x:v>
      </x:c>
      <x:c r="H9" s="19" t="str">
        <x:v>Selección inicial pendiente de verificación API.</x:v>
      </x:c>
      <x:c r="I9" s="2" t="str">
        <x:v>global_default</x:v>
      </x:c>
      <x:c r="J9" s="2" t="str"/>
      <x:c r="K9" s="2" t="str"/>
    </x:row>
    <x:row r="10" ht="44" customHeight="1">
      <x:c r="A10" s="16" t="n">
        <x:v>5</x:v>
      </x:c>
      <x:c r="B10" s="16" t="str">
        <x:v>8869c04c-628b-4bc3-a46c-25acb993b698</x:v>
      </x:c>
      <x:c r="C10" s="21" t="str">
        <x:v>Liderazgo de ingeniería de producto</x:v>
      </x:c>
      <x:c r="D10" s="19" t="str">
        <x:f>IF(J10&lt;&gt;"",J10,'Configuracion'!$B$11)</x:f>
        <x:v>deepseek-official</x:v>
      </x:c>
      <x:c r="E10" s="19" t="str">
        <x:f>IF(K10&lt;&gt;"",K10,'Configuracion'!$B$12)</x:f>
        <x:v>deepseek-flash</x:v>
      </x:c>
      <x:c r="F10" s="21" t="str">
        <x:f>IF(OR(D10="",E10=""),"FALTA ASIGNACION",IF(COUNTIFS('Modelos'!$A$6:$A$205,D10,'Modelos'!$B$6:$B$205,E10)&gt;1,"CATALOGO_DUPLICADO",IF(COUNTIFS('Modelos'!$A$6:$A$205,D10,'Modelos'!$B$6:$B$205,E10,'Modelos'!$D$6:$D$205,"AVAILABLE")=1,"AVAILABLE",IF(COUNTIFS('Modelos'!$A$6:$A$205,D10,'Modelos'!$B$6:$B$205,E10,'Modelos'!$D$6:$D$205,"UNAVAILABLE")=1,"UNAVAILABLE",IF(COUNTIFS('Modelos'!$A$6:$A$205,D10,'Modelos'!$B$6:$B$205,E10)=1,"UNVERIFIED","NO_EN_CATALOGO")))))</x:f>
        <x:v>UNVERIFIED</x:v>
      </x:c>
      <x:c r="G10" s="19" t="n">
        <x:v>1</x:v>
      </x:c>
      <x:c r="H10" s="19" t="str">
        <x:v>Selección inicial pendiente de verificación API.</x:v>
      </x:c>
      <x:c r="I10" s="16" t="str">
        <x:v>global_default</x:v>
      </x:c>
      <x:c r="J10" s="16" t="str"/>
      <x:c r="K10" s="16" t="str"/>
    </x:row>
    <x:row r="11" ht="44" customHeight="1">
      <x:c r="A11" s="2" t="n">
        <x:v>6</x:v>
      </x:c>
      <x:c r="B11" s="2" t="str">
        <x:v>04bb8901-fa3c-545a-878b-a3cf462e3a65</x:v>
      </x:c>
      <x:c r="C11" s="22" t="str">
        <x:v>Ingeniería de servicios backend</x:v>
      </x:c>
      <x:c r="D11" s="19" t="str">
        <x:f>IF(J11&lt;&gt;"",J11,'Configuracion'!$B$11)</x:f>
        <x:v>deepseek-official</x:v>
      </x:c>
      <x:c r="E11" s="19" t="str">
        <x:f>IF(K11&lt;&gt;"",K11,'Configuracion'!$B$12)</x:f>
        <x:v>deepseek-flash</x:v>
      </x:c>
      <x:c r="F11" s="22" t="str">
        <x:f>IF(OR(D11="",E11=""),"FALTA ASIGNACION",IF(COUNTIFS('Modelos'!$A$6:$A$205,D11,'Modelos'!$B$6:$B$205,E11)&gt;1,"CATALOGO_DUPLICADO",IF(COUNTIFS('Modelos'!$A$6:$A$205,D11,'Modelos'!$B$6:$B$205,E11,'Modelos'!$D$6:$D$205,"AVAILABLE")=1,"AVAILABLE",IF(COUNTIFS('Modelos'!$A$6:$A$205,D11,'Modelos'!$B$6:$B$205,E11,'Modelos'!$D$6:$D$205,"UNAVAILABLE")=1,"UNAVAILABLE",IF(COUNTIFS('Modelos'!$A$6:$A$205,D11,'Modelos'!$B$6:$B$205,E11)=1,"UNVERIFIED","NO_EN_CATALOGO")))))</x:f>
        <x:v>UNVERIFIED</x:v>
      </x:c>
      <x:c r="G11" s="19" t="n">
        <x:v>1</x:v>
      </x:c>
      <x:c r="H11" s="19" t="str">
        <x:v>Selección inicial pendiente de verificación API.</x:v>
      </x:c>
      <x:c r="I11" s="2" t="str">
        <x:v>global_default</x:v>
      </x:c>
      <x:c r="J11" s="2" t="str"/>
      <x:c r="K11" s="2" t="str"/>
    </x:row>
    <x:row r="12" ht="44" customHeight="1">
      <x:c r="A12" s="16" t="n">
        <x:v>7</x:v>
      </x:c>
      <x:c r="B12" s="16" t="str">
        <x:v>d28d2e1d-94c6-55cf-96e3-502260dadeb1</x:v>
      </x:c>
      <x:c r="C12" s="21" t="str">
        <x:v>Ingeniería de interfaz y accesibilidad</x:v>
      </x:c>
      <x:c r="D12" s="19" t="str">
        <x:f>IF(J12&lt;&gt;"",J12,'Configuracion'!$B$11)</x:f>
        <x:v>deepseek-official</x:v>
      </x:c>
      <x:c r="E12" s="19" t="str">
        <x:f>IF(K12&lt;&gt;"",K12,'Configuracion'!$B$12)</x:f>
        <x:v>deepseek-flash</x:v>
      </x:c>
      <x:c r="F12" s="21" t="str">
        <x:f>IF(OR(D12="",E12=""),"FALTA ASIGNACION",IF(COUNTIFS('Modelos'!$A$6:$A$205,D12,'Modelos'!$B$6:$B$205,E12)&gt;1,"CATALOGO_DUPLICADO",IF(COUNTIFS('Modelos'!$A$6:$A$205,D12,'Modelos'!$B$6:$B$205,E12,'Modelos'!$D$6:$D$205,"AVAILABLE")=1,"AVAILABLE",IF(COUNTIFS('Modelos'!$A$6:$A$205,D12,'Modelos'!$B$6:$B$205,E12,'Modelos'!$D$6:$D$205,"UNAVAILABLE")=1,"UNAVAILABLE",IF(COUNTIFS('Modelos'!$A$6:$A$205,D12,'Modelos'!$B$6:$B$205,E12)=1,"UNVERIFIED","NO_EN_CATALOGO")))))</x:f>
        <x:v>UNVERIFIED</x:v>
      </x:c>
      <x:c r="G12" s="19" t="n">
        <x:v>1</x:v>
      </x:c>
      <x:c r="H12" s="19" t="str">
        <x:v>Selección inicial pendiente de verificación API.</x:v>
      </x:c>
      <x:c r="I12" s="16" t="str">
        <x:v>global_default</x:v>
      </x:c>
      <x:c r="J12" s="16" t="str"/>
      <x:c r="K12" s="16" t="str"/>
    </x:row>
    <x:row r="13" ht="44" customHeight="1">
      <x:c r="A13" s="2" t="n">
        <x:v>8</x:v>
      </x:c>
      <x:c r="B13" s="2" t="str">
        <x:v>8453288b-95e1-456f-8bf5-07f2567c2e90</x:v>
      </x:c>
      <x:c r="C13" s="22" t="str">
        <x:v>Dirección de revisión independiente</x:v>
      </x:c>
      <x:c r="D13" s="19" t="str">
        <x:f>IF(J13&lt;&gt;"",J13,'Configuracion'!$B$11)</x:f>
        <x:v>deepseek-official</x:v>
      </x:c>
      <x:c r="E13" s="19" t="str">
        <x:f>IF(K13&lt;&gt;"",K13,'Configuracion'!$B$12)</x:f>
        <x:v>deepseek-flash</x:v>
      </x:c>
      <x:c r="F13" s="22" t="str">
        <x:f>IF(OR(D13="",E13=""),"FALTA ASIGNACION",IF(COUNTIFS('Modelos'!$A$6:$A$205,D13,'Modelos'!$B$6:$B$205,E13)&gt;1,"CATALOGO_DUPLICADO",IF(COUNTIFS('Modelos'!$A$6:$A$205,D13,'Modelos'!$B$6:$B$205,E13,'Modelos'!$D$6:$D$205,"AVAILABLE")=1,"AVAILABLE",IF(COUNTIFS('Modelos'!$A$6:$A$205,D13,'Modelos'!$B$6:$B$205,E13,'Modelos'!$D$6:$D$205,"UNAVAILABLE")=1,"UNAVAILABLE",IF(COUNTIFS('Modelos'!$A$6:$A$205,D13,'Modelos'!$B$6:$B$205,E13)=1,"UNVERIFIED","NO_EN_CATALOGO")))))</x:f>
        <x:v>UNVERIFIED</x:v>
      </x:c>
      <x:c r="G13" s="19" t="n">
        <x:v>1</x:v>
      </x:c>
      <x:c r="H13" s="19" t="str">
        <x:v>Selección inicial pendiente de verificación API.</x:v>
      </x:c>
      <x:c r="I13" s="2" t="str">
        <x:v>global_default</x:v>
      </x:c>
      <x:c r="J13" s="2" t="str"/>
      <x:c r="K13" s="2" t="str"/>
    </x:row>
    <x:row r="14" ht="44" customHeight="1">
      <x:c r="A14" s="16" t="n">
        <x:v>9</x:v>
      </x:c>
      <x:c r="B14" s="16" t="str">
        <x:v>24234d32-aec2-5b8f-8aa9-3dbf492c3c3c</x:v>
      </x:c>
      <x:c r="C14" s="21" t="str">
        <x:v>Auditoría de seguridad y confianza</x:v>
      </x:c>
      <x:c r="D14" s="19" t="str">
        <x:f>IF(J14&lt;&gt;"",J14,'Configuracion'!$B$11)</x:f>
        <x:v>deepseek-official</x:v>
      </x:c>
      <x:c r="E14" s="19" t="str">
        <x:f>IF(K14&lt;&gt;"",K14,'Configuracion'!$B$12)</x:f>
        <x:v>deepseek-flash</x:v>
      </x:c>
      <x:c r="F14" s="21" t="str">
        <x:f>IF(OR(D14="",E14=""),"FALTA ASIGNACION",IF(COUNTIFS('Modelos'!$A$6:$A$205,D14,'Modelos'!$B$6:$B$205,E14)&gt;1,"CATALOGO_DUPLICADO",IF(COUNTIFS('Modelos'!$A$6:$A$205,D14,'Modelos'!$B$6:$B$205,E14,'Modelos'!$D$6:$D$205,"AVAILABLE")=1,"AVAILABLE",IF(COUNTIFS('Modelos'!$A$6:$A$205,D14,'Modelos'!$B$6:$B$205,E14,'Modelos'!$D$6:$D$205,"UNAVAILABLE")=1,"UNAVAILABLE",IF(COUNTIFS('Modelos'!$A$6:$A$205,D14,'Modelos'!$B$6:$B$205,E14)=1,"UNVERIFIED","NO_EN_CATALOGO")))))</x:f>
        <x:v>UNVERIFIED</x:v>
      </x:c>
      <x:c r="G14" s="19" t="n">
        <x:v>1</x:v>
      </x:c>
      <x:c r="H14" s="19" t="str">
        <x:v>Selección inicial pendiente de verificación API.</x:v>
      </x:c>
      <x:c r="I14" s="16" t="str">
        <x:v>global_default</x:v>
      </x:c>
      <x:c r="J14" s="16" t="str"/>
      <x:c r="K14" s="16" t="str"/>
    </x:row>
    <x:row r="15" ht="44" customHeight="1">
      <x:c r="A15" s="2" t="n">
        <x:v>10</x:v>
      </x:c>
      <x:c r="B15" s="2" t="str">
        <x:v>2afbda5b-fcb1-55de-aac1-1d3a29e2662b</x:v>
      </x:c>
      <x:c r="C15" s="22" t="str">
        <x:v>Auditoría final de evidencia</x:v>
      </x:c>
      <x:c r="D15" s="19" t="str">
        <x:f>IF(J15&lt;&gt;"",J15,'Configuracion'!$B$11)</x:f>
        <x:v>deepseek-official</x:v>
      </x:c>
      <x:c r="E15" s="19" t="str">
        <x:f>IF(K15&lt;&gt;"",K15,'Configuracion'!$B$12)</x:f>
        <x:v>deepseek-flash</x:v>
      </x:c>
      <x:c r="F15" s="22" t="str">
        <x:f>IF(OR(D15="",E15=""),"FALTA ASIGNACION",IF(COUNTIFS('Modelos'!$A$6:$A$205,D15,'Modelos'!$B$6:$B$205,E15)&gt;1,"CATALOGO_DUPLICADO",IF(COUNTIFS('Modelos'!$A$6:$A$205,D15,'Modelos'!$B$6:$B$205,E15,'Modelos'!$D$6:$D$205,"AVAILABLE")=1,"AVAILABLE",IF(COUNTIFS('Modelos'!$A$6:$A$205,D15,'Modelos'!$B$6:$B$205,E15,'Modelos'!$D$6:$D$205,"UNAVAILABLE")=1,"UNAVAILABLE",IF(COUNTIFS('Modelos'!$A$6:$A$205,D15,'Modelos'!$B$6:$B$205,E15)=1,"UNVERIFIED","NO_EN_CATALOGO")))))</x:f>
        <x:v>UNVERIFIED</x:v>
      </x:c>
      <x:c r="G15" s="19" t="n">
        <x:v>1</x:v>
      </x:c>
      <x:c r="H15" s="19" t="str">
        <x:v>Selección inicial pendiente de verificación API.</x:v>
      </x:c>
      <x:c r="I15" s="2" t="str">
        <x:v>global_default</x:v>
      </x:c>
      <x:c r="J15" s="2" t="str"/>
      <x:c r="K15" s="2" t="str"/>
    </x:row>
    <x:row r="16" ht="44" customHeight="1">
      <x:c r="A16" s="16" t="n">
        <x:v>11</x:v>
      </x:c>
      <x:c r="B16" s="16" t="str">
        <x:v>d345c7bf-a05e-58bb-a434-412a8e018900</x:v>
      </x:c>
      <x:c r="C16" s="21" t="str">
        <x:v>Ingeniería de fiabilidad y operación</x:v>
      </x:c>
      <x:c r="D16" s="19" t="str">
        <x:f>IF(J16&lt;&gt;"",J16,'Configuracion'!$B$11)</x:f>
        <x:v>deepseek-official</x:v>
      </x:c>
      <x:c r="E16" s="19" t="str">
        <x:f>IF(K16&lt;&gt;"",K16,'Configuracion'!$B$12)</x:f>
        <x:v>deepseek-flash</x:v>
      </x:c>
      <x:c r="F16" s="21" t="str">
        <x:f>IF(OR(D16="",E16=""),"FALTA ASIGNACION",IF(COUNTIFS('Modelos'!$A$6:$A$205,D16,'Modelos'!$B$6:$B$205,E16)&gt;1,"CATALOGO_DUPLICADO",IF(COUNTIFS('Modelos'!$A$6:$A$205,D16,'Modelos'!$B$6:$B$205,E16,'Modelos'!$D$6:$D$205,"AVAILABLE")=1,"AVAILABLE",IF(COUNTIFS('Modelos'!$A$6:$A$205,D16,'Modelos'!$B$6:$B$205,E16,'Modelos'!$D$6:$D$205,"UNAVAILABLE")=1,"UNAVAILABLE",IF(COUNTIFS('Modelos'!$A$6:$A$205,D16,'Modelos'!$B$6:$B$205,E16)=1,"UNVERIFIED","NO_EN_CATALOGO")))))</x:f>
        <x:v>UNVERIFIED</x:v>
      </x:c>
      <x:c r="G16" s="19" t="n">
        <x:v>1</x:v>
      </x:c>
      <x:c r="H16" s="19" t="str">
        <x:v>Selección inicial pendiente de verificación API.</x:v>
      </x:c>
      <x:c r="I16" s="16" t="str">
        <x:v>global_default</x:v>
      </x:c>
      <x:c r="J16" s="16" t="str"/>
      <x:c r="K16" s="16" t="str"/>
    </x:row>
    <x:row r="17" ht="44" customHeight="1">
      <x:c r="A17" s="2" t="n">
        <x:v>12</x:v>
      </x:c>
      <x:c r="B17" s="2" t="str">
        <x:v>07345392-10e4-596b-8261-723199a106c2</x:v>
      </x:c>
      <x:c r="C17" s="22" t="str">
        <x:v>Auditoría de conciliación y valor</x:v>
      </x:c>
      <x:c r="D17" s="19" t="str">
        <x:f>IF(J17&lt;&gt;"",J17,'Configuracion'!$B$11)</x:f>
        <x:v>deepseek-official</x:v>
      </x:c>
      <x:c r="E17" s="19" t="str">
        <x:f>IF(K17&lt;&gt;"",K17,'Configuracion'!$B$12)</x:f>
        <x:v>deepseek-flash</x:v>
      </x:c>
      <x:c r="F17" s="22" t="str">
        <x:f>IF(OR(D17="",E17=""),"FALTA ASIGNACION",IF(COUNTIFS('Modelos'!$A$6:$A$205,D17,'Modelos'!$B$6:$B$205,E17)&gt;1,"CATALOGO_DUPLICADO",IF(COUNTIFS('Modelos'!$A$6:$A$205,D17,'Modelos'!$B$6:$B$205,E17,'Modelos'!$D$6:$D$205,"AVAILABLE")=1,"AVAILABLE",IF(COUNTIFS('Modelos'!$A$6:$A$205,D17,'Modelos'!$B$6:$B$205,E17,'Modelos'!$D$6:$D$205,"UNAVAILABLE")=1,"UNAVAILABLE",IF(COUNTIFS('Modelos'!$A$6:$A$205,D17,'Modelos'!$B$6:$B$205,E17)=1,"UNVERIFIED","NO_EN_CATALOGO")))))</x:f>
        <x:v>UNVERIFIED</x:v>
      </x:c>
      <x:c r="G17" s="19" t="n">
        <x:v>1</x:v>
      </x:c>
      <x:c r="H17" s="19" t="str">
        <x:v>Selección inicial pendiente de verificación API.</x:v>
      </x:c>
      <x:c r="I17" s="2" t="str">
        <x:v>global_default</x:v>
      </x:c>
      <x:c r="J17" s="2" t="str"/>
      <x:c r="K17" s="2" t="str"/>
    </x:row>
    <x:row r="18" ht="44" customHeight="1">
      <x:c r="A18" s="16" t="n">
        <x:v>13</x:v>
      </x:c>
      <x:c r="B18" s="16" t="str">
        <x:v>671a9d2a-3d9b-59c7-a72d-d2bb53363c01</x:v>
      </x:c>
      <x:c r="C18" s="21" t="str">
        <x:v>Gestión de integración y publicación</x:v>
      </x:c>
      <x:c r="D18" s="19" t="str">
        <x:f>IF(J18&lt;&gt;"",J18,'Configuracion'!$B$11)</x:f>
        <x:v>deepseek-official</x:v>
      </x:c>
      <x:c r="E18" s="19" t="str">
        <x:f>IF(K18&lt;&gt;"",K18,'Configuracion'!$B$12)</x:f>
        <x:v>deepseek-flash</x:v>
      </x:c>
      <x:c r="F18" s="21" t="str">
        <x:f>IF(OR(D18="",E18=""),"FALTA ASIGNACION",IF(COUNTIFS('Modelos'!$A$6:$A$205,D18,'Modelos'!$B$6:$B$205,E18)&gt;1,"CATALOGO_DUPLICADO",IF(COUNTIFS('Modelos'!$A$6:$A$205,D18,'Modelos'!$B$6:$B$205,E18,'Modelos'!$D$6:$D$205,"AVAILABLE")=1,"AVAILABLE",IF(COUNTIFS('Modelos'!$A$6:$A$205,D18,'Modelos'!$B$6:$B$205,E18,'Modelos'!$D$6:$D$205,"UNAVAILABLE")=1,"UNAVAILABLE",IF(COUNTIFS('Modelos'!$A$6:$A$205,D18,'Modelos'!$B$6:$B$205,E18)=1,"UNVERIFIED","NO_EN_CATALOGO")))))</x:f>
        <x:v>UNVERIFIED</x:v>
      </x:c>
      <x:c r="G18" s="19" t="n">
        <x:v>1</x:v>
      </x:c>
      <x:c r="H18" s="19" t="str">
        <x:v>Selección inicial pendiente de verificación API.</x:v>
      </x:c>
      <x:c r="I18" s="16" t="str">
        <x:v>global_default</x:v>
      </x:c>
      <x:c r="J18" s="16" t="str"/>
      <x:c r="K18" s="16" t="str"/>
    </x:row>
    <x:row r="19" ht="44" customHeight="1">
      <x:c r="A19" s="2" t="n">
        <x:v>14</x:v>
      </x:c>
      <x:c r="B19" s="2" t="str">
        <x:v>fecfbc1e-c2cd-54a1-a338-63717e2da523</x:v>
      </x:c>
      <x:c r="C19" s="22" t="str">
        <x:v>Ingeniería de datos y persistencia</x:v>
      </x:c>
      <x:c r="D19" s="19" t="str">
        <x:f>IF(J19&lt;&gt;"",J19,'Configuracion'!$B$11)</x:f>
        <x:v>deepseek-official</x:v>
      </x:c>
      <x:c r="E19" s="19" t="str">
        <x:f>IF(K19&lt;&gt;"",K19,'Configuracion'!$B$12)</x:f>
        <x:v>deepseek-flash</x:v>
      </x:c>
      <x:c r="F19" s="22" t="str">
        <x:f>IF(OR(D19="",E19=""),"FALTA ASIGNACION",IF(COUNTIFS('Modelos'!$A$6:$A$205,D19,'Modelos'!$B$6:$B$205,E19)&gt;1,"CATALOGO_DUPLICADO",IF(COUNTIFS('Modelos'!$A$6:$A$205,D19,'Modelos'!$B$6:$B$205,E19,'Modelos'!$D$6:$D$205,"AVAILABLE")=1,"AVAILABLE",IF(COUNTIFS('Modelos'!$A$6:$A$205,D19,'Modelos'!$B$6:$B$205,E19,'Modelos'!$D$6:$D$205,"UNAVAILABLE")=1,"UNAVAILABLE",IF(COUNTIFS('Modelos'!$A$6:$A$205,D19,'Modelos'!$B$6:$B$205,E19)=1,"UNVERIFIED","NO_EN_CATALOGO")))))</x:f>
        <x:v>UNVERIFIED</x:v>
      </x:c>
      <x:c r="G19" s="19" t="n">
        <x:v>1</x:v>
      </x:c>
      <x:c r="H19" s="19" t="str">
        <x:v>Selección inicial pendiente de verificación API.</x:v>
      </x:c>
      <x:c r="I19" s="2" t="str">
        <x:v>global_default</x:v>
      </x:c>
      <x:c r="J19" s="2" t="str"/>
      <x:c r="K19" s="2" t="str"/>
    </x:row>
    <x:row r="20" ht="44" customHeight="1">
      <x:c r="A20" s="16" t="n">
        <x:v>15</x:v>
      </x:c>
      <x:c r="B20" s="16" t="str">
        <x:v>1379d506-d159-59a8-9f7b-7e017d2f464d</x:v>
      </x:c>
      <x:c r="C20" s="21" t="str">
        <x:v>Ingeniería de integraciones</x:v>
      </x:c>
      <x:c r="D20" s="19" t="str">
        <x:f>IF(J20&lt;&gt;"",J20,'Configuracion'!$B$11)</x:f>
        <x:v>deepseek-official</x:v>
      </x:c>
      <x:c r="E20" s="19" t="str">
        <x:f>IF(K20&lt;&gt;"",K20,'Configuracion'!$B$12)</x:f>
        <x:v>deepseek-flash</x:v>
      </x:c>
      <x:c r="F20" s="21" t="str">
        <x:f>IF(OR(D20="",E20=""),"FALTA ASIGNACION",IF(COUNTIFS('Modelos'!$A$6:$A$205,D20,'Modelos'!$B$6:$B$205,E20)&gt;1,"CATALOGO_DUPLICADO",IF(COUNTIFS('Modelos'!$A$6:$A$205,D20,'Modelos'!$B$6:$B$205,E20,'Modelos'!$D$6:$D$205,"AVAILABLE")=1,"AVAILABLE",IF(COUNTIFS('Modelos'!$A$6:$A$205,D20,'Modelos'!$B$6:$B$205,E20,'Modelos'!$D$6:$D$205,"UNAVAILABLE")=1,"UNAVAILABLE",IF(COUNTIFS('Modelos'!$A$6:$A$205,D20,'Modelos'!$B$6:$B$205,E20)=1,"UNVERIFIED","NO_EN_CATALOGO")))))</x:f>
        <x:v>UNVERIFIED</x:v>
      </x:c>
      <x:c r="G20" s="19" t="n">
        <x:v>1</x:v>
      </x:c>
      <x:c r="H20" s="19" t="str">
        <x:v>Selección inicial pendiente de verificación API.</x:v>
      </x:c>
      <x:c r="I20" s="16" t="str">
        <x:v>global_default</x:v>
      </x:c>
      <x:c r="J20" s="16" t="str"/>
      <x:c r="K20" s="16" t="str"/>
    </x:row>
    <x:row r="21" ht="44" customHeight="1">
      <x:c r="A21" s="2" t="n">
        <x:v>16</x:v>
      </x:c>
      <x:c r="B21" s="2" t="str">
        <x:v>3de093dc-2587-582d-9d90-d593478fc65a</x:v>
      </x:c>
      <x:c r="C21" s="22" t="str">
        <x:v>Ingeniería de contratos y transacciones</x:v>
      </x:c>
      <x:c r="D21" s="19" t="str">
        <x:f>IF(J21&lt;&gt;"",J21,'Configuracion'!$B$11)</x:f>
        <x:v>deepseek-official</x:v>
      </x:c>
      <x:c r="E21" s="19" t="str">
        <x:f>IF(K21&lt;&gt;"",K21,'Configuracion'!$B$12)</x:f>
        <x:v>deepseek-flash</x:v>
      </x:c>
      <x:c r="F21" s="22" t="str">
        <x:f>IF(OR(D21="",E21=""),"FALTA ASIGNACION",IF(COUNTIFS('Modelos'!$A$6:$A$205,D21,'Modelos'!$B$6:$B$205,E21)&gt;1,"CATALOGO_DUPLICADO",IF(COUNTIFS('Modelos'!$A$6:$A$205,D21,'Modelos'!$B$6:$B$205,E21,'Modelos'!$D$6:$D$205,"AVAILABLE")=1,"AVAILABLE",IF(COUNTIFS('Modelos'!$A$6:$A$205,D21,'Modelos'!$B$6:$B$205,E21,'Modelos'!$D$6:$D$205,"UNAVAILABLE")=1,"UNAVAILABLE",IF(COUNTIFS('Modelos'!$A$6:$A$205,D21,'Modelos'!$B$6:$B$205,E21)=1,"UNVERIFIED","NO_EN_CATALOGO")))))</x:f>
        <x:v>UNVERIFIED</x:v>
      </x:c>
      <x:c r="G21" s="19" t="n">
        <x:v>1</x:v>
      </x:c>
      <x:c r="H21" s="19" t="str">
        <x:v>Selección inicial pendiente de verificación API.</x:v>
      </x:c>
      <x:c r="I21" s="2" t="str">
        <x:v>global_default</x:v>
      </x:c>
      <x:c r="J21" s="2" t="str"/>
      <x:c r="K21" s="2" t="str"/>
    </x:row>
    <x:row r="22" ht="44" customHeight="1">
      <x:c r="A22" s="16" t="n">
        <x:v>17</x:v>
      </x:c>
      <x:c r="B22" s="16" t="str">
        <x:v>3c77aa48-d378-5352-b961-686581792862</x:v>
      </x:c>
      <x:c r="C22" s="21" t="str">
        <x:v>Investigación cuantitativa y validación matemática</x:v>
      </x:c>
      <x:c r="D22" s="19" t="str">
        <x:f>IF(J22&lt;&gt;"",J22,'Configuracion'!$B$11)</x:f>
        <x:v>deepseek-official</x:v>
      </x:c>
      <x:c r="E22" s="19" t="str">
        <x:f>IF(K22&lt;&gt;"",K22,'Configuracion'!$B$12)</x:f>
        <x:v>deepseek-flash</x:v>
      </x:c>
      <x:c r="F22" s="21" t="str">
        <x:f>IF(OR(D22="",E22=""),"FALTA ASIGNACION",IF(COUNTIFS('Modelos'!$A$6:$A$205,D22,'Modelos'!$B$6:$B$205,E22)&gt;1,"CATALOGO_DUPLICADO",IF(COUNTIFS('Modelos'!$A$6:$A$205,D22,'Modelos'!$B$6:$B$205,E22,'Modelos'!$D$6:$D$205,"AVAILABLE")=1,"AVAILABLE",IF(COUNTIFS('Modelos'!$A$6:$A$205,D22,'Modelos'!$B$6:$B$205,E22,'Modelos'!$D$6:$D$205,"UNAVAILABLE")=1,"UNAVAILABLE",IF(COUNTIFS('Modelos'!$A$6:$A$205,D22,'Modelos'!$B$6:$B$205,E22)=1,"UNVERIFIED","NO_EN_CATALOGO")))))</x:f>
        <x:v>UNVERIFIED</x:v>
      </x:c>
      <x:c r="G22" s="19" t="n">
        <x:v>1</x:v>
      </x:c>
      <x:c r="H22" s="19" t="str">
        <x:v>Selección inicial pendiente de verificación API.</x:v>
      </x:c>
      <x:c r="I22" s="16" t="str">
        <x:v>global_default</x:v>
      </x:c>
      <x:c r="J22" s="16" t="str"/>
      <x:c r="K22" s="16" t="str"/>
    </x:row>
    <x:row r="23" ht="44" customHeight="1">
      <x:c r="A23" s="2" t="n">
        <x:v>18</x:v>
      </x:c>
      <x:c r="B23" s="2" t="str">
        <x:v>c8fe5355-4371-5e3f-8a3f-160bcb90fdbb</x:v>
      </x:c>
      <x:c r="C23" s="22" t="str">
        <x:v>Ingeniería de grafos y búsqueda</x:v>
      </x:c>
      <x:c r="D23" s="19" t="str">
        <x:f>IF(J23&lt;&gt;"",J23,'Configuracion'!$B$11)</x:f>
        <x:v>deepseek-official</x:v>
      </x:c>
      <x:c r="E23" s="19" t="str">
        <x:f>IF(K23&lt;&gt;"",K23,'Configuracion'!$B$12)</x:f>
        <x:v>deepseek-flash</x:v>
      </x:c>
      <x:c r="F23" s="22" t="str">
        <x:f>IF(OR(D23="",E23=""),"FALTA ASIGNACION",IF(COUNTIFS('Modelos'!$A$6:$A$205,D23,'Modelos'!$B$6:$B$205,E23)&gt;1,"CATALOGO_DUPLICADO",IF(COUNTIFS('Modelos'!$A$6:$A$205,D23,'Modelos'!$B$6:$B$205,E23,'Modelos'!$D$6:$D$205,"AVAILABLE")=1,"AVAILABLE",IF(COUNTIFS('Modelos'!$A$6:$A$205,D23,'Modelos'!$B$6:$B$205,E23,'Modelos'!$D$6:$D$205,"UNAVAILABLE")=1,"UNAVAILABLE",IF(COUNTIFS('Modelos'!$A$6:$A$205,D23,'Modelos'!$B$6:$B$205,E23)=1,"UNVERIFIED","NO_EN_CATALOGO")))))</x:f>
        <x:v>UNVERIFIED</x:v>
      </x:c>
      <x:c r="G23" s="19" t="n">
        <x:v>1</x:v>
      </x:c>
      <x:c r="H23" s="19" t="str">
        <x:v>Selección inicial pendiente de verificación API.</x:v>
      </x:c>
      <x:c r="I23" s="2" t="str">
        <x:v>global_default</x:v>
      </x:c>
      <x:c r="J23" s="2" t="str"/>
      <x:c r="K23" s="2" t="str"/>
    </x:row>
    <x:row r="24" ht="44" customHeight="1">
      <x:c r="A24" s="16" t="n">
        <x:v>19</x:v>
      </x:c>
      <x:c r="B24" s="16" t="str">
        <x:v>c4c6a704-6b59-5c0c-b8bc-53edb6d2f769</x:v>
      </x:c>
      <x:c r="C24" s="21" t="str">
        <x:v>Investigación de sistemas y escenarios</x:v>
      </x:c>
      <x:c r="D24" s="19" t="str">
        <x:f>IF(J24&lt;&gt;"",J24,'Configuracion'!$B$11)</x:f>
        <x:v>deepseek-official</x:v>
      </x:c>
      <x:c r="E24" s="19" t="str">
        <x:f>IF(K24&lt;&gt;"",K24,'Configuracion'!$B$12)</x:f>
        <x:v>deepseek-flash</x:v>
      </x:c>
      <x:c r="F24" s="21" t="str">
        <x:f>IF(OR(D24="",E24=""),"FALTA ASIGNACION",IF(COUNTIFS('Modelos'!$A$6:$A$205,D24,'Modelos'!$B$6:$B$205,E24)&gt;1,"CATALOGO_DUPLICADO",IF(COUNTIFS('Modelos'!$A$6:$A$205,D24,'Modelos'!$B$6:$B$205,E24,'Modelos'!$D$6:$D$205,"AVAILABLE")=1,"AVAILABLE",IF(COUNTIFS('Modelos'!$A$6:$A$205,D24,'Modelos'!$B$6:$B$205,E24,'Modelos'!$D$6:$D$205,"UNAVAILABLE")=1,"UNAVAILABLE",IF(COUNTIFS('Modelos'!$A$6:$A$205,D24,'Modelos'!$B$6:$B$205,E24)=1,"UNVERIFIED","NO_EN_CATALOGO")))))</x:f>
        <x:v>UNVERIFIED</x:v>
      </x:c>
      <x:c r="G24" s="19" t="n">
        <x:v>1</x:v>
      </x:c>
      <x:c r="H24" s="19" t="str">
        <x:v>Selección inicial pendiente de verificación API.</x:v>
      </x:c>
      <x:c r="I24" s="16" t="str">
        <x:v>global_default</x:v>
      </x:c>
      <x:c r="J24" s="16" t="str"/>
      <x:c r="K24" s="16" t="str"/>
    </x:row>
    <x:row r="25" ht="44" customHeight="1">
      <x:c r="A25" s="2" t="n">
        <x:v>20</x:v>
      </x:c>
      <x:c r="B25" s="2" t="str">
        <x:v>e389f32c-1b45-5781-b5f8-61f4c9fbfdd3</x:v>
      </x:c>
      <x:c r="C25" s="22" t="str">
        <x:v>Ingeniería de navegador y recorridos E2E</x:v>
      </x:c>
      <x:c r="D25" s="19" t="str">
        <x:f>IF(J25&lt;&gt;"",J25,'Configuracion'!$B$11)</x:f>
        <x:v>deepseek-official</x:v>
      </x:c>
      <x:c r="E25" s="19" t="str">
        <x:f>IF(K25&lt;&gt;"",K25,'Configuracion'!$B$12)</x:f>
        <x:v>deepseek-flash</x:v>
      </x:c>
      <x:c r="F25" s="22" t="str">
        <x:f>IF(OR(D25="",E25=""),"FALTA ASIGNACION",IF(COUNTIFS('Modelos'!$A$6:$A$205,D25,'Modelos'!$B$6:$B$205,E25)&gt;1,"CATALOGO_DUPLICADO",IF(COUNTIFS('Modelos'!$A$6:$A$205,D25,'Modelos'!$B$6:$B$205,E25,'Modelos'!$D$6:$D$205,"AVAILABLE")=1,"AVAILABLE",IF(COUNTIFS('Modelos'!$A$6:$A$205,D25,'Modelos'!$B$6:$B$205,E25,'Modelos'!$D$6:$D$205,"UNAVAILABLE")=1,"UNAVAILABLE",IF(COUNTIFS('Modelos'!$A$6:$A$205,D25,'Modelos'!$B$6:$B$205,E25)=1,"UNVERIFIED","NO_EN_CATALOGO")))))</x:f>
        <x:v>UNVERIFIED</x:v>
      </x:c>
      <x:c r="G25" s="19" t="n">
        <x:v>1</x:v>
      </x:c>
      <x:c r="H25" s="19" t="str">
        <x:v>Selección inicial pendiente de verificación API.</x:v>
      </x:c>
      <x:c r="I25" s="2" t="str">
        <x:v>global_default</x:v>
      </x:c>
      <x:c r="J25" s="2" t="str"/>
      <x:c r="K25" s="2" t="str"/>
    </x:row>
    <x:row r="26" ht="44" customHeight="1">
      <x:c r="A26" s="16" t="n">
        <x:v>21</x:v>
      </x:c>
      <x:c r="B26" s="16" t="str">
        <x:v>b6e1a9d2-14dc-5a48-b2c8-c1c54966b009</x:v>
      </x:c>
      <x:c r="C26" s="21" t="str">
        <x:v>Ingeniería de paridad y compatibilidad</x:v>
      </x:c>
      <x:c r="D26" s="19" t="str">
        <x:f>IF(J26&lt;&gt;"",J26,'Configuracion'!$B$11)</x:f>
        <x:v>deepseek-official</x:v>
      </x:c>
      <x:c r="E26" s="19" t="str">
        <x:f>IF(K26&lt;&gt;"",K26,'Configuracion'!$B$12)</x:f>
        <x:v>deepseek-flash</x:v>
      </x:c>
      <x:c r="F26" s="21" t="str">
        <x:f>IF(OR(D26="",E26=""),"FALTA ASIGNACION",IF(COUNTIFS('Modelos'!$A$6:$A$205,D26,'Modelos'!$B$6:$B$205,E26)&gt;1,"CATALOGO_DUPLICADO",IF(COUNTIFS('Modelos'!$A$6:$A$205,D26,'Modelos'!$B$6:$B$205,E26,'Modelos'!$D$6:$D$205,"AVAILABLE")=1,"AVAILABLE",IF(COUNTIFS('Modelos'!$A$6:$A$205,D26,'Modelos'!$B$6:$B$205,E26,'Modelos'!$D$6:$D$205,"UNAVAILABLE")=1,"UNAVAILABLE",IF(COUNTIFS('Modelos'!$A$6:$A$205,D26,'Modelos'!$B$6:$B$205,E26)=1,"UNVERIFIED","NO_EN_CATALOGO")))))</x:f>
        <x:v>UNVERIFIED</x:v>
      </x:c>
      <x:c r="G26" s="19" t="n">
        <x:v>1</x:v>
      </x:c>
      <x:c r="H26" s="19" t="str">
        <x:v>Selección inicial pendiente de verificación API.</x:v>
      </x:c>
      <x:c r="I26" s="16" t="str">
        <x:v>global_default</x:v>
      </x:c>
      <x:c r="J26" s="16" t="str"/>
      <x:c r="K26" s="16" t="str"/>
    </x:row>
    <x:row r="27" ht="44" customHeight="1">
      <x:c r="A27" s="2" t="n">
        <x:v>22</x:v>
      </x:c>
      <x:c r="B27" s="2" t="str">
        <x:v>d256860f-67f4-534a-a1e0-3db4e7d220d2</x:v>
      </x:c>
      <x:c r="C27" s="22" t="str">
        <x:v>Ingeniería de agentes y evaluaciones</x:v>
      </x:c>
      <x:c r="D27" s="19" t="str">
        <x:f>IF(J27&lt;&gt;"",J27,'Configuracion'!$B$11)</x:f>
        <x:v>deepseek-official</x:v>
      </x:c>
      <x:c r="E27" s="19" t="str">
        <x:f>IF(K27&lt;&gt;"",K27,'Configuracion'!$B$12)</x:f>
        <x:v>deepseek-flash</x:v>
      </x:c>
      <x:c r="F27" s="22" t="str">
        <x:f>IF(OR(D27="",E27=""),"FALTA ASIGNACION",IF(COUNTIFS('Modelos'!$A$6:$A$205,D27,'Modelos'!$B$6:$B$205,E27)&gt;1,"CATALOGO_DUPLICADO",IF(COUNTIFS('Modelos'!$A$6:$A$205,D27,'Modelos'!$B$6:$B$205,E27,'Modelos'!$D$6:$D$205,"AVAILABLE")=1,"AVAILABLE",IF(COUNTIFS('Modelos'!$A$6:$A$205,D27,'Modelos'!$B$6:$B$205,E27,'Modelos'!$D$6:$D$205,"UNAVAILABLE")=1,"UNAVAILABLE",IF(COUNTIFS('Modelos'!$A$6:$A$205,D27,'Modelos'!$B$6:$B$205,E27)=1,"UNVERIFIED","NO_EN_CATALOGO")))))</x:f>
        <x:v>UNVERIFIED</x:v>
      </x:c>
      <x:c r="G27" s="19" t="n">
        <x:v>1</x:v>
      </x:c>
      <x:c r="H27" s="19" t="str">
        <x:v>Selección inicial pendiente de verificación API.</x:v>
      </x:c>
      <x:c r="I27" s="2" t="str">
        <x:v>global_default</x:v>
      </x:c>
      <x:c r="J27" s="2" t="str"/>
      <x:c r="K27" s="2" t="str"/>
    </x:row>
    <x:row r="28" ht="44" customHeight="1">
      <x:c r="A28" s="16" t="n">
        <x:v>23</x:v>
      </x:c>
      <x:c r="B28" s="16" t="str">
        <x:v>d59b0906-7517-59bb-a0d2-0c0fb8215ba2</x:v>
      </x:c>
      <x:c r="C28" s="21" t="str">
        <x:v>Ingeniería de especificación y trazabilidad</x:v>
      </x:c>
      <x:c r="D28" s="19" t="str">
        <x:f>IF(J28&lt;&gt;"",J28,'Configuracion'!$B$11)</x:f>
        <x:v>deepseek-official</x:v>
      </x:c>
      <x:c r="E28" s="19" t="str">
        <x:f>IF(K28&lt;&gt;"",K28,'Configuracion'!$B$12)</x:f>
        <x:v>deepseek-flash</x:v>
      </x:c>
      <x:c r="F28" s="21" t="str">
        <x:f>IF(OR(D28="",E28=""),"FALTA ASIGNACION",IF(COUNTIFS('Modelos'!$A$6:$A$205,D28,'Modelos'!$B$6:$B$205,E28)&gt;1,"CATALOGO_DUPLICADO",IF(COUNTIFS('Modelos'!$A$6:$A$205,D28,'Modelos'!$B$6:$B$205,E28,'Modelos'!$D$6:$D$205,"AVAILABLE")=1,"AVAILABLE",IF(COUNTIFS('Modelos'!$A$6:$A$205,D28,'Modelos'!$B$6:$B$205,E28,'Modelos'!$D$6:$D$205,"UNAVAILABLE")=1,"UNAVAILABLE",IF(COUNTIFS('Modelos'!$A$6:$A$205,D28,'Modelos'!$B$6:$B$205,E28)=1,"UNVERIFIED","NO_EN_CATALOGO")))))</x:f>
        <x:v>UNVERIFIED</x:v>
      </x:c>
      <x:c r="G28" s="19" t="n">
        <x:v>1</x:v>
      </x:c>
      <x:c r="H28" s="19" t="str">
        <x:v>Selección inicial pendiente de verificación API.</x:v>
      </x:c>
      <x:c r="I28" s="16" t="str">
        <x:v>global_default</x:v>
      </x:c>
      <x:c r="J28" s="16" t="str"/>
      <x:c r="K28" s="16" t="str"/>
    </x:row>
    <x:row r="29" ht="44" customHeight="1">
      <x:c r="A29" s="2" t="n">
        <x:v>24</x:v>
      </x:c>
      <x:c r="B29" s="2" t="str">
        <x:v>ff0d8395-2a3a-5d1d-9185-63c3aa3c19e7</x:v>
      </x:c>
      <x:c r="C29" s="22" t="str">
        <x:v>Ingeniería de rendimiento y capacidad</x:v>
      </x:c>
      <x:c r="D29" s="19" t="str">
        <x:f>IF(J29&lt;&gt;"",J29,'Configuracion'!$B$11)</x:f>
        <x:v>deepseek-official</x:v>
      </x:c>
      <x:c r="E29" s="19" t="str">
        <x:f>IF(K29&lt;&gt;"",K29,'Configuracion'!$B$12)</x:f>
        <x:v>deepseek-flash</x:v>
      </x:c>
      <x:c r="F29" s="22" t="str">
        <x:f>IF(OR(D29="",E29=""),"FALTA ASIGNACION",IF(COUNTIFS('Modelos'!$A$6:$A$205,D29,'Modelos'!$B$6:$B$205,E29)&gt;1,"CATALOGO_DUPLICADO",IF(COUNTIFS('Modelos'!$A$6:$A$205,D29,'Modelos'!$B$6:$B$205,E29,'Modelos'!$D$6:$D$205,"AVAILABLE")=1,"AVAILABLE",IF(COUNTIFS('Modelos'!$A$6:$A$205,D29,'Modelos'!$B$6:$B$205,E29,'Modelos'!$D$6:$D$205,"UNAVAILABLE")=1,"UNAVAILABLE",IF(COUNTIFS('Modelos'!$A$6:$A$205,D29,'Modelos'!$B$6:$B$205,E29)=1,"UNVERIFIED","NO_EN_CATALOGO")))))</x:f>
        <x:v>UNVERIFIED</x:v>
      </x:c>
      <x:c r="G29" s="19" t="n">
        <x:v>1</x:v>
      </x:c>
      <x:c r="H29" s="19" t="str">
        <x:v>Selección inicial pendiente de verificación API.</x:v>
      </x:c>
      <x:c r="I29" s="2" t="str">
        <x:v>global_default</x:v>
      </x:c>
      <x:c r="J29" s="2" t="str"/>
      <x:c r="K29" s="2" t="str"/>
    </x:row>
    <x:row r="30" ht="44" customHeight="1">
      <x:c r="A30" s="16" t="n">
        <x:v>25</x:v>
      </x:c>
      <x:c r="B30" s="16" t="str">
        <x:v>12f7ca75-e682-5b12-8ae6-8c244c20a17d</x:v>
      </x:c>
      <x:c r="C30" s="21" t="str">
        <x:v>Investigación de experiencia de usuario</x:v>
      </x:c>
      <x:c r="D30" s="19" t="str">
        <x:f>IF(J30&lt;&gt;"",J30,'Configuracion'!$B$11)</x:f>
        <x:v>deepseek-official</x:v>
      </x:c>
      <x:c r="E30" s="19" t="str">
        <x:f>IF(K30&lt;&gt;"",K30,'Configuracion'!$B$12)</x:f>
        <x:v>deepseek-flash</x:v>
      </x:c>
      <x:c r="F30" s="21" t="str">
        <x:f>IF(OR(D30="",E30=""),"FALTA ASIGNACION",IF(COUNTIFS('Modelos'!$A$6:$A$205,D30,'Modelos'!$B$6:$B$205,E30)&gt;1,"CATALOGO_DUPLICADO",IF(COUNTIFS('Modelos'!$A$6:$A$205,D30,'Modelos'!$B$6:$B$205,E30,'Modelos'!$D$6:$D$205,"AVAILABLE")=1,"AVAILABLE",IF(COUNTIFS('Modelos'!$A$6:$A$205,D30,'Modelos'!$B$6:$B$205,E30,'Modelos'!$D$6:$D$205,"UNAVAILABLE")=1,"UNAVAILABLE",IF(COUNTIFS('Modelos'!$A$6:$A$205,D30,'Modelos'!$B$6:$B$205,E30)=1,"UNVERIFIED","NO_EN_CATALOGO")))))</x:f>
        <x:v>UNVERIFIED</x:v>
      </x:c>
      <x:c r="G30" s="19" t="n">
        <x:v>1</x:v>
      </x:c>
      <x:c r="H30" s="19" t="str">
        <x:v>Selección inicial pendiente de verificación API.</x:v>
      </x:c>
      <x:c r="I30" s="16" t="str">
        <x:v>global_default</x:v>
      </x:c>
      <x:c r="J30" s="16" t="str"/>
      <x:c r="K30" s="16" t="str"/>
    </x:row>
    <x:row r="31" ht="44" customHeight="1">
      <x:c r="A31" s="2" t="n">
        <x:v>26</x:v>
      </x:c>
      <x:c r="B31" s="2" t="str">
        <x:v>66c9f7cb-1cdd-5f66-b5cc-d85ee800e1c2</x:v>
      </x:c>
      <x:c r="C31" s="22" t="str">
        <x:v>Ingeniería de privacidad</x:v>
      </x:c>
      <x:c r="D31" s="19" t="str">
        <x:f>IF(J31&lt;&gt;"",J31,'Configuracion'!$B$11)</x:f>
        <x:v>deepseek-official</x:v>
      </x:c>
      <x:c r="E31" s="19" t="str">
        <x:f>IF(K31&lt;&gt;"",K31,'Configuracion'!$B$12)</x:f>
        <x:v>deepseek-flash</x:v>
      </x:c>
      <x:c r="F31" s="22" t="str">
        <x:f>IF(OR(D31="",E31=""),"FALTA ASIGNACION",IF(COUNTIFS('Modelos'!$A$6:$A$205,D31,'Modelos'!$B$6:$B$205,E31)&gt;1,"CATALOGO_DUPLICADO",IF(COUNTIFS('Modelos'!$A$6:$A$205,D31,'Modelos'!$B$6:$B$205,E31,'Modelos'!$D$6:$D$205,"AVAILABLE")=1,"AVAILABLE",IF(COUNTIFS('Modelos'!$A$6:$A$205,D31,'Modelos'!$B$6:$B$205,E31,'Modelos'!$D$6:$D$205,"UNAVAILABLE")=1,"UNAVAILABLE",IF(COUNTIFS('Modelos'!$A$6:$A$205,D31,'Modelos'!$B$6:$B$205,E31)=1,"UNVERIFIED","NO_EN_CATALOGO")))))</x:f>
        <x:v>UNVERIFIED</x:v>
      </x:c>
      <x:c r="G31" s="19" t="n">
        <x:v>1</x:v>
      </x:c>
      <x:c r="H31" s="19" t="str">
        <x:v>Selección inicial pendiente de verificación API.</x:v>
      </x:c>
      <x:c r="I31" s="2" t="str">
        <x:v>global_default</x:v>
      </x:c>
      <x:c r="J31" s="2" t="str"/>
      <x:c r="K31" s="2" t="str"/>
    </x:row>
    <x:row r="32" ht="44" customHeight="1">
      <x:c r="A32" s="16" t="n">
        <x:v>27</x:v>
      </x:c>
      <x:c r="B32" s="16" t="str">
        <x:v>3ad1cb20-61e1-5d94-9e4c-c5a3fa46b33f</x:v>
      </x:c>
      <x:c r="C32" s="21" t="str">
        <x:v>Ingeniería de compilación y dependencias</x:v>
      </x:c>
      <x:c r="D32" s="19" t="str">
        <x:f>IF(J32&lt;&gt;"",J32,'Configuracion'!$B$11)</x:f>
        <x:v>deepseek-official</x:v>
      </x:c>
      <x:c r="E32" s="19" t="str">
        <x:f>IF(K32&lt;&gt;"",K32,'Configuracion'!$B$12)</x:f>
        <x:v>deepseek-flash</x:v>
      </x:c>
      <x:c r="F32" s="21" t="str">
        <x:f>IF(OR(D32="",E32=""),"FALTA ASIGNACION",IF(COUNTIFS('Modelos'!$A$6:$A$205,D32,'Modelos'!$B$6:$B$205,E32)&gt;1,"CATALOGO_DUPLICADO",IF(COUNTIFS('Modelos'!$A$6:$A$205,D32,'Modelos'!$B$6:$B$205,E32,'Modelos'!$D$6:$D$205,"AVAILABLE")=1,"AVAILABLE",IF(COUNTIFS('Modelos'!$A$6:$A$205,D32,'Modelos'!$B$6:$B$205,E32,'Modelos'!$D$6:$D$205,"UNAVAILABLE")=1,"UNAVAILABLE",IF(COUNTIFS('Modelos'!$A$6:$A$205,D32,'Modelos'!$B$6:$B$205,E32)=1,"UNVERIFIED","NO_EN_CATALOGO")))))</x:f>
        <x:v>UNVERIFIED</x:v>
      </x:c>
      <x:c r="G32" s="19" t="n">
        <x:v>1</x:v>
      </x:c>
      <x:c r="H32" s="19" t="str">
        <x:v>Selección inicial pendiente de verificación API.</x:v>
      </x:c>
      <x:c r="I32" s="16" t="str">
        <x:v>global_default</x:v>
      </x:c>
      <x:c r="J32" s="16" t="str"/>
      <x:c r="K32" s="16" t="str"/>
    </x:row>
    <x:row r="33" ht="44" customHeight="1">
      <x:c r="A33" s="2" t="n">
        <x:v>28</x:v>
      </x:c>
      <x:c r="B33" s="2" t="str">
        <x:v>d973d3a9-99af-5196-a624-ab2b8106fc50</x:v>
      </x:c>
      <x:c r="C33" s="22" t="str">
        <x:v>Ingeniería de resiliencia y fallos</x:v>
      </x:c>
      <x:c r="D33" s="19" t="str">
        <x:f>IF(J33&lt;&gt;"",J33,'Configuracion'!$B$11)</x:f>
        <x:v>deepseek-official</x:v>
      </x:c>
      <x:c r="E33" s="19" t="str">
        <x:f>IF(K33&lt;&gt;"",K33,'Configuracion'!$B$12)</x:f>
        <x:v>deepseek-flash</x:v>
      </x:c>
      <x:c r="F33" s="22" t="str">
        <x:f>IF(OR(D33="",E33=""),"FALTA ASIGNACION",IF(COUNTIFS('Modelos'!$A$6:$A$205,D33,'Modelos'!$B$6:$B$205,E33)&gt;1,"CATALOGO_DUPLICADO",IF(COUNTIFS('Modelos'!$A$6:$A$205,D33,'Modelos'!$B$6:$B$205,E33,'Modelos'!$D$6:$D$205,"AVAILABLE")=1,"AVAILABLE",IF(COUNTIFS('Modelos'!$A$6:$A$205,D33,'Modelos'!$B$6:$B$205,E33,'Modelos'!$D$6:$D$205,"UNAVAILABLE")=1,"UNAVAILABLE",IF(COUNTIFS('Modelos'!$A$6:$A$205,D33,'Modelos'!$B$6:$B$205,E33)=1,"UNVERIFIED","NO_EN_CATALOGO")))))</x:f>
        <x:v>UNVERIFIED</x:v>
      </x:c>
      <x:c r="G33" s="19" t="n">
        <x:v>1</x:v>
      </x:c>
      <x:c r="H33" s="19" t="str">
        <x:v>Selección inicial pendiente de verificación API.</x:v>
      </x:c>
      <x:c r="I33" s="2" t="str">
        <x:v>global_default</x:v>
      </x:c>
      <x:c r="J33" s="2" t="str"/>
      <x:c r="K33" s="2" t="str"/>
    </x:row>
    <x:row r="34" ht="44" customHeight="1">
      <x:c r="A34" s="16" t="n">
        <x:v>29</x:v>
      </x:c>
      <x:c r="B34" s="16" t="str">
        <x:v>f8f7b237-45c0-5cb4-8312-9aa011fff51c</x:v>
      </x:c>
      <x:c r="C34" s="21" t="str">
        <x:v>Ingeniería de documentación y soporte</x:v>
      </x:c>
      <x:c r="D34" s="19" t="str">
        <x:f>IF(J34&lt;&gt;"",J34,'Configuracion'!$B$11)</x:f>
        <x:v>deepseek-official</x:v>
      </x:c>
      <x:c r="E34" s="19" t="str">
        <x:f>IF(K34&lt;&gt;"",K34,'Configuracion'!$B$12)</x:f>
        <x:v>deepseek-flash</x:v>
      </x:c>
      <x:c r="F34" s="21" t="str">
        <x:f>IF(OR(D34="",E34=""),"FALTA ASIGNACION",IF(COUNTIFS('Modelos'!$A$6:$A$205,D34,'Modelos'!$B$6:$B$205,E34)&gt;1,"CATALOGO_DUPLICADO",IF(COUNTIFS('Modelos'!$A$6:$A$205,D34,'Modelos'!$B$6:$B$205,E34,'Modelos'!$D$6:$D$205,"AVAILABLE")=1,"AVAILABLE",IF(COUNTIFS('Modelos'!$A$6:$A$205,D34,'Modelos'!$B$6:$B$205,E34,'Modelos'!$D$6:$D$205,"UNAVAILABLE")=1,"UNAVAILABLE",IF(COUNTIFS('Modelos'!$A$6:$A$205,D34,'Modelos'!$B$6:$B$205,E34)=1,"UNVERIFIED","NO_EN_CATALOGO")))))</x:f>
        <x:v>UNVERIFIED</x:v>
      </x:c>
      <x:c r="G34" s="19" t="n">
        <x:v>1</x:v>
      </x:c>
      <x:c r="H34" s="19" t="str">
        <x:v>Selección inicial pendiente de verificación API.</x:v>
      </x:c>
      <x:c r="I34" s="16" t="str">
        <x:v>global_default</x:v>
      </x:c>
      <x:c r="J34" s="16" t="str"/>
      <x:c r="K34" s="16" t="str"/>
    </x:row>
    <x:row r="35" ht="44" customHeight="1">
      <x:c r="A35" s="2" t="n">
        <x:v>30</x:v>
      </x:c>
      <x:c r="B35" s="2" t="str">
        <x:v>9763e17a-745d-52bf-9028-361ca76dc1df</x:v>
      </x:c>
      <x:c r="C35" s="22" t="str">
        <x:v>Ingeniería de búsqueda y recuperación</x:v>
      </x:c>
      <x:c r="D35" s="19" t="str">
        <x:f>IF(J35&lt;&gt;"",J35,'Configuracion'!$B$11)</x:f>
        <x:v>deepseek-official</x:v>
      </x:c>
      <x:c r="E35" s="19" t="str">
        <x:f>IF(K35&lt;&gt;"",K35,'Configuracion'!$B$12)</x:f>
        <x:v>deepseek-flash</x:v>
      </x:c>
      <x:c r="F35" s="22" t="str">
        <x:f>IF(OR(D35="",E35=""),"FALTA ASIGNACION",IF(COUNTIFS('Modelos'!$A$6:$A$205,D35,'Modelos'!$B$6:$B$205,E35)&gt;1,"CATALOGO_DUPLICADO",IF(COUNTIFS('Modelos'!$A$6:$A$205,D35,'Modelos'!$B$6:$B$205,E35,'Modelos'!$D$6:$D$205,"AVAILABLE")=1,"AVAILABLE",IF(COUNTIFS('Modelos'!$A$6:$A$205,D35,'Modelos'!$B$6:$B$205,E35,'Modelos'!$D$6:$D$205,"UNAVAILABLE")=1,"UNAVAILABLE",IF(COUNTIFS('Modelos'!$A$6:$A$205,D35,'Modelos'!$B$6:$B$205,E35)=1,"UNVERIFIED","NO_EN_CATALOGO")))))</x:f>
        <x:v>UNVERIFIED</x:v>
      </x:c>
      <x:c r="G35" s="19" t="n">
        <x:v>1</x:v>
      </x:c>
      <x:c r="H35" s="19" t="str">
        <x:v>Selección inicial pendiente de verificación API.</x:v>
      </x:c>
      <x:c r="I35" s="2" t="str">
        <x:v>global_default</x:v>
      </x:c>
      <x:c r="J35" s="2" t="str"/>
      <x:c r="K35" s="2" t="str"/>
    </x:row>
    <x:row r="36" ht="44" customHeight="1">
      <x:c r="A36" s="16" t="n">
        <x:v>31</x:v>
      </x:c>
      <x:c r="B36" s="16" t="str">
        <x:v>90e4ef89-dcda-52c7-b1b6-b3bf69865b78</x:v>
      </x:c>
      <x:c r="C36" s="21" t="str">
        <x:v>Ingeniería de costes y sostenibilidad</x:v>
      </x:c>
      <x:c r="D36" s="19" t="str">
        <x:f>IF(J36&lt;&gt;"",J36,'Configuracion'!$B$11)</x:f>
        <x:v>deepseek-official</x:v>
      </x:c>
      <x:c r="E36" s="19" t="str">
        <x:f>IF(K36&lt;&gt;"",K36,'Configuracion'!$B$12)</x:f>
        <x:v>deepseek-flash</x:v>
      </x:c>
      <x:c r="F36" s="21" t="str">
        <x:f>IF(OR(D36="",E36=""),"FALTA ASIGNACION",IF(COUNTIFS('Modelos'!$A$6:$A$205,D36,'Modelos'!$B$6:$B$205,E36)&gt;1,"CATALOGO_DUPLICADO",IF(COUNTIFS('Modelos'!$A$6:$A$205,D36,'Modelos'!$B$6:$B$205,E36,'Modelos'!$D$6:$D$205,"AVAILABLE")=1,"AVAILABLE",IF(COUNTIFS('Modelos'!$A$6:$A$205,D36,'Modelos'!$B$6:$B$205,E36,'Modelos'!$D$6:$D$205,"UNAVAILABLE")=1,"UNAVAILABLE",IF(COUNTIFS('Modelos'!$A$6:$A$205,D36,'Modelos'!$B$6:$B$205,E36)=1,"UNVERIFIED","NO_EN_CATALOGO")))))</x:f>
        <x:v>UNVERIFIED</x:v>
      </x:c>
      <x:c r="G36" s="19" t="n">
        <x:v>1</x:v>
      </x:c>
      <x:c r="H36" s="19" t="str">
        <x:v>Selección inicial pendiente de verificación API.</x:v>
      </x:c>
      <x:c r="I36" s="16" t="str">
        <x:v>global_default</x:v>
      </x:c>
      <x:c r="J36" s="16" t="str"/>
      <x:c r="K36" s="16" t="str"/>
    </x:row>
    <x:row r="37" ht="44" customHeight="1">
      <x:c r="A37" s="2" t="n">
        <x:v>32</x:v>
      </x:c>
      <x:c r="B37" s="2" t="str">
        <x:v>94429739-9d07-57f1-9916-28096885385e</x:v>
      </x:c>
      <x:c r="C37" s="22" t="str">
        <x:v>Ingeniería móvil y dispositivos</x:v>
      </x:c>
      <x:c r="D37" s="19" t="str">
        <x:f>IF(J37&lt;&gt;"",J37,'Configuracion'!$B$11)</x:f>
        <x:v>deepseek-official</x:v>
      </x:c>
      <x:c r="E37" s="19" t="str">
        <x:f>IF(K37&lt;&gt;"",K37,'Configuracion'!$B$12)</x:f>
        <x:v>deepseek-flash</x:v>
      </x:c>
      <x:c r="F37" s="22" t="str">
        <x:f>IF(OR(D37="",E37=""),"FALTA ASIGNACION",IF(COUNTIFS('Modelos'!$A$6:$A$205,D37,'Modelos'!$B$6:$B$205,E37)&gt;1,"CATALOGO_DUPLICADO",IF(COUNTIFS('Modelos'!$A$6:$A$205,D37,'Modelos'!$B$6:$B$205,E37,'Modelos'!$D$6:$D$205,"AVAILABLE")=1,"AVAILABLE",IF(COUNTIFS('Modelos'!$A$6:$A$205,D37,'Modelos'!$B$6:$B$205,E37,'Modelos'!$D$6:$D$205,"UNAVAILABLE")=1,"UNAVAILABLE",IF(COUNTIFS('Modelos'!$A$6:$A$205,D37,'Modelos'!$B$6:$B$205,E37)=1,"UNVERIFIED","NO_EN_CATALOGO")))))</x:f>
        <x:v>UNVERIFIED</x:v>
      </x:c>
      <x:c r="G37" s="19" t="n">
        <x:v>1</x:v>
      </x:c>
      <x:c r="H37" s="19" t="str">
        <x:v>Selección inicial pendiente de verificación API.</x:v>
      </x:c>
      <x:c r="I37" s="2" t="str">
        <x:v>global_default</x:v>
      </x:c>
      <x:c r="J37" s="2" t="str"/>
      <x:c r="K37" s="2" t="str"/>
    </x:row>
  </x:sheetData>
  <x:conditionalFormatting sqref="F6:F37">
    <x:cfRule type="containsText" dxfId="4" priority="1" operator="containsText" text="NO_EN_CATALOGO"/>
  </x:conditionalFormatting>
  <x:dataValidations count="2">
    <x:dataValidation type="list" sqref="D6:D37">
      <x:formula1>CatalogoProveedores</x:formula1>
    </x:dataValidation>
    <x:dataValidation type="list" sqref="E6:E37">
      <x:formula1>CatalogoModelos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40" hidden="0" customWidth="1"/>
    <x:col min="3" max="3" width="24" hidden="0" customWidth="1"/>
    <x:col min="4" max="4" width="40" hidden="0" customWidth="1"/>
    <x:col min="5" max="5" width="14" hidden="0" customWidth="1"/>
    <x:col min="6" max="6" width="23" hidden="0" customWidth="1"/>
    <x:col min="7" max="7" width="75" hidden="0" customWidth="1"/>
    <x:col min="8" max="8" width="45" hidden="0" customWidth="1"/>
    <x:col min="9" max="9" width="31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Council deliberativo</x:v>
      </x:c>
      <x:c r="B2" s="2"/>
      <x:c r="C2" s="2"/>
      <x:c r="D2" s="2"/>
      <x:c r="E2" s="2"/>
      <x:c r="F2" s="2"/>
      <x:c r="G2" s="2"/>
      <x:c r="H2" s="2"/>
      <x:c r="I2" s="2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5" customHeight="1">
      <x:c r="A4" s="25" t="str">
        <x:v>El Council puede deliberar en paralelo con N miembros. No sustituye la cadena de responsabilidad del CEO.</x:v>
      </x:c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3" t="str">
        <x:v>Slot</x:v>
      </x:c>
      <x:c r="B5" s="14" t="str">
        <x:v>ID miembro</x:v>
      </x:c>
      <x:c r="C5" s="14" t="str">
        <x:v>Nombre ficticio</x:v>
      </x:c>
      <x:c r="D5" s="14" t="str">
        <x:v>Cargo</x:v>
      </x:c>
      <x:c r="E5" s="14" t="str">
        <x:v>Participa</x:v>
      </x:c>
      <x:c r="F5" s="14" t="str">
        <x:v>Canal</x:v>
      </x:c>
      <x:c r="G5" s="14" t="str">
        <x:v>Aporte requerido</x:v>
      </x:c>
      <x:c r="H5" s="14" t="str">
        <x:v>Decisión</x:v>
      </x:c>
      <x:c r="I5" s="15" t="str">
        <x:v>Estado</x:v>
      </x:c>
    </x:row>
    <x:row r="6" ht="48" customHeight="1">
      <x:c r="A6" s="16" t="n">
        <x:v>1</x:v>
      </x:c>
      <x:c r="B6" s="16" t="str">
        <x:v>bb4f7927-7d2f-4ff7-a467-dc999ac59c2a</x:v>
      </x:c>
      <x:c r="C6" s="16" t="str">
        <x:v>Elena Valdés</x:v>
      </x:c>
      <x:c r="D6" s="21" t="str">
        <x:v>CEO · Dirección de entrega</x:v>
      </x:c>
      <x:c r="E6" s="21" t="str">
        <x:f>'Organigrama'!C6</x:f>
        <x:v>SI</x:v>
      </x:c>
      <x:c r="F6" s="21" t="str">
        <x:v>COUNCIL</x:v>
      </x:c>
      <x:c r="G6" s="21" t="str">
        <x:v>Hipótesis, evidencia, objeción, riesgo y recomendación propia.</x:v>
      </x:c>
      <x:c r="H6" s="21" t="str">
        <x:v>Pendiente de una sesión real.</x:v>
      </x:c>
      <x:c r="I6" s="21" t="str">
        <x:v>DISEÑADO_NO_EJECUTADO</x:v>
      </x:c>
    </x:row>
    <x:row r="7" ht="48" customHeight="1">
      <x:c r="A7" s="2" t="n">
        <x:v>2</x:v>
      </x:c>
      <x:c r="B7" s="2" t="str">
        <x:v>2e4033f6-9f72-5c6b-9180-6e9aa1efcf9f</x:v>
      </x:c>
      <x:c r="C7" s="2" t="str">
        <x:v>Gabriel Montes</x:v>
      </x:c>
      <x:c r="D7" s="22" t="str">
        <x:v>CTO · Dirección de ingeniería y arquitectura</x:v>
      </x:c>
      <x:c r="E7" s="22" t="str">
        <x:f>'Organigrama'!C7</x:f>
        <x:v>SI</x:v>
      </x:c>
      <x:c r="F7" s="22" t="str">
        <x:v>COUNCIL</x:v>
      </x:c>
      <x:c r="G7" s="22" t="str">
        <x:v>Hipótesis, evidencia, objeción, riesgo y recomendación propia.</x:v>
      </x:c>
      <x:c r="H7" s="22" t="str">
        <x:v>Pendiente de una sesión real.</x:v>
      </x:c>
      <x:c r="I7" s="22" t="str">
        <x:v>DISEÑADO_NO_EJECUTADO</x:v>
      </x:c>
    </x:row>
    <x:row r="8" ht="48" customHeight="1">
      <x:c r="A8" s="16" t="n">
        <x:v>3</x:v>
      </x:c>
      <x:c r="B8" s="16" t="str">
        <x:v>d37e22a3-3427-53f5-a11b-2f741d9ee58a</x:v>
      </x:c>
      <x:c r="C8" s="16" t="str">
        <x:v>Santiago Vidal</x:v>
      </x:c>
      <x:c r="D8" s="21" t="str">
        <x:v>Dirección de aseguramiento y calidad</x:v>
      </x:c>
      <x:c r="E8" s="21" t="str">
        <x:f>'Organigrama'!C8</x:f>
        <x:v>SI</x:v>
      </x:c>
      <x:c r="F8" s="21" t="str">
        <x:v>COUNCIL</x:v>
      </x:c>
      <x:c r="G8" s="21" t="str">
        <x:v>Hipótesis, evidencia, objeción, riesgo y recomendación propia.</x:v>
      </x:c>
      <x:c r="H8" s="21" t="str">
        <x:v>Pendiente de una sesión real.</x:v>
      </x:c>
      <x:c r="I8" s="21" t="str">
        <x:v>DISEÑADO_NO_EJECUTADO</x:v>
      </x:c>
    </x:row>
    <x:row r="9" ht="48" customHeight="1">
      <x:c r="A9" s="2" t="n">
        <x:v>4</x:v>
      </x:c>
      <x:c r="B9" s="2" t="str">
        <x:v>039fa8c8-ba62-5929-837c-dd6480445976</x:v>
      </x:c>
      <x:c r="C9" s="2" t="str">
        <x:v>Alba Prieto</x:v>
      </x:c>
      <x:c r="D9" s="22" t="str">
        <x:v>Dirección de operaciones y mandatos</x:v>
      </x:c>
      <x:c r="E9" s="22" t="str">
        <x:f>'Organigrama'!C9</x:f>
        <x:v>SI</x:v>
      </x:c>
      <x:c r="F9" s="22" t="str">
        <x:v>COUNCIL</x:v>
      </x:c>
      <x:c r="G9" s="22" t="str">
        <x:v>Hipótesis, evidencia, objeción, riesgo y recomendación propia.</x:v>
      </x:c>
      <x:c r="H9" s="22" t="str">
        <x:v>Pendiente de una sesión real.</x:v>
      </x:c>
      <x:c r="I9" s="22" t="str">
        <x:v>DISEÑADO_NO_EJECUTADO</x:v>
      </x:c>
    </x:row>
    <x:row r="10" ht="48" customHeight="1">
      <x:c r="A10" s="16" t="n">
        <x:v>5</x:v>
      </x:c>
      <x:c r="B10" s="16" t="str">
        <x:v>8869c04c-628b-4bc3-a46c-25acb993b698</x:v>
      </x:c>
      <x:c r="C10" s="16" t="str">
        <x:v>Mateo Salvatierra</x:v>
      </x:c>
      <x:c r="D10" s="21" t="str">
        <x:v>Liderazgo de ingeniería de producto</x:v>
      </x:c>
      <x:c r="E10" s="21" t="str">
        <x:f>'Organigrama'!C10</x:f>
        <x:v>SI</x:v>
      </x:c>
      <x:c r="F10" s="21" t="str">
        <x:v>COUNCIL</x:v>
      </x:c>
      <x:c r="G10" s="21" t="str">
        <x:v>Hipótesis, evidencia, objeción, riesgo y recomendación propia.</x:v>
      </x:c>
      <x:c r="H10" s="21" t="str">
        <x:v>Pendiente de una sesión real.</x:v>
      </x:c>
      <x:c r="I10" s="21" t="str">
        <x:v>DISEÑADO_NO_EJECUTADO</x:v>
      </x:c>
    </x:row>
    <x:row r="11" ht="48" customHeight="1">
      <x:c r="A11" s="2" t="n">
        <x:v>6</x:v>
      </x:c>
      <x:c r="B11" s="2" t="str">
        <x:v>04bb8901-fa3c-545a-878b-a3cf462e3a65</x:v>
      </x:c>
      <x:c r="C11" s="2" t="str">
        <x:v>Lucía Ferrer</x:v>
      </x:c>
      <x:c r="D11" s="22" t="str">
        <x:v>Ingeniería de servicios backend</x:v>
      </x:c>
      <x:c r="E11" s="22" t="str">
        <x:f>'Organigrama'!C11</x:f>
        <x:v>SI</x:v>
      </x:c>
      <x:c r="F11" s="22" t="str">
        <x:v>COUNCIL</x:v>
      </x:c>
      <x:c r="G11" s="22" t="str">
        <x:v>Hipótesis, evidencia, objeción, riesgo y recomendación propia.</x:v>
      </x:c>
      <x:c r="H11" s="22" t="str">
        <x:v>Pendiente de una sesión real.</x:v>
      </x:c>
      <x:c r="I11" s="22" t="str">
        <x:v>DISEÑADO_NO_EJECUTADO</x:v>
      </x:c>
    </x:row>
    <x:row r="12" ht="48" customHeight="1">
      <x:c r="A12" s="16" t="n">
        <x:v>7</x:v>
      </x:c>
      <x:c r="B12" s="16" t="str">
        <x:v>d28d2e1d-94c6-55cf-96e3-502260dadeb1</x:v>
      </x:c>
      <x:c r="C12" s="16" t="str">
        <x:v>Nicolás Vega</x:v>
      </x:c>
      <x:c r="D12" s="21" t="str">
        <x:v>Ingeniería de interfaz y accesibilidad</x:v>
      </x:c>
      <x:c r="E12" s="21" t="str">
        <x:f>'Organigrama'!C12</x:f>
        <x:v>SI</x:v>
      </x:c>
      <x:c r="F12" s="21" t="str">
        <x:v>COUNCIL</x:v>
      </x:c>
      <x:c r="G12" s="21" t="str">
        <x:v>Hipótesis, evidencia, objeción, riesgo y recomendación propia.</x:v>
      </x:c>
      <x:c r="H12" s="21" t="str">
        <x:v>Pendiente de una sesión real.</x:v>
      </x:c>
      <x:c r="I12" s="21" t="str">
        <x:v>DISEÑADO_NO_EJECUTADO</x:v>
      </x:c>
    </x:row>
    <x:row r="13" ht="48" customHeight="1">
      <x:c r="A13" s="2" t="n">
        <x:v>8</x:v>
      </x:c>
      <x:c r="B13" s="2" t="str">
        <x:v>8453288b-95e1-456f-8bf5-07f2567c2e90</x:v>
      </x:c>
      <x:c r="C13" s="2" t="str">
        <x:v>Inés Robles</x:v>
      </x:c>
      <x:c r="D13" s="22" t="str">
        <x:v>Dirección de revisión independiente</x:v>
      </x:c>
      <x:c r="E13" s="22" t="str">
        <x:f>'Organigrama'!C13</x:f>
        <x:v>SI</x:v>
      </x:c>
      <x:c r="F13" s="22" t="str">
        <x:v>COUNCIL</x:v>
      </x:c>
      <x:c r="G13" s="22" t="str">
        <x:v>Hipótesis, evidencia, objeción, riesgo y recomendación propia.</x:v>
      </x:c>
      <x:c r="H13" s="22" t="str">
        <x:v>Pendiente de una sesión real.</x:v>
      </x:c>
      <x:c r="I13" s="22" t="str">
        <x:v>DISEÑADO_NO_EJECUTADO</x:v>
      </x:c>
    </x:row>
    <x:row r="14" ht="48" customHeight="1">
      <x:c r="A14" s="16" t="n">
        <x:v>9</x:v>
      </x:c>
      <x:c r="B14" s="16" t="str">
        <x:v>24234d32-aec2-5b8f-8aa9-3dbf492c3c3c</x:v>
      </x:c>
      <x:c r="C14" s="16" t="str">
        <x:v>Valeria Ríos</x:v>
      </x:c>
      <x:c r="D14" s="21" t="str">
        <x:v>Auditoría de seguridad y confianza</x:v>
      </x:c>
      <x:c r="E14" s="21" t="str">
        <x:f>'Organigrama'!C14</x:f>
        <x:v>SI</x:v>
      </x:c>
      <x:c r="F14" s="21" t="str">
        <x:v>COUNCIL</x:v>
      </x:c>
      <x:c r="G14" s="21" t="str">
        <x:v>Hipótesis, evidencia, objeción, riesgo y recomendación propia.</x:v>
      </x:c>
      <x:c r="H14" s="21" t="str">
        <x:v>Pendiente de una sesión real.</x:v>
      </x:c>
      <x:c r="I14" s="21" t="str">
        <x:v>DISEÑADO_NO_EJECUTADO</x:v>
      </x:c>
    </x:row>
    <x:row r="15" ht="48" customHeight="1">
      <x:c r="A15" s="2" t="n">
        <x:v>10</x:v>
      </x:c>
      <x:c r="B15" s="2" t="str">
        <x:v>2afbda5b-fcb1-55de-aac1-1d3a29e2662b</x:v>
      </x:c>
      <x:c r="C15" s="2" t="str">
        <x:v>Iván Olivares</x:v>
      </x:c>
      <x:c r="D15" s="22" t="str">
        <x:v>Auditoría final de evidencia</x:v>
      </x:c>
      <x:c r="E15" s="22" t="str">
        <x:f>'Organigrama'!C15</x:f>
        <x:v>SI</x:v>
      </x:c>
      <x:c r="F15" s="22" t="str">
        <x:v>COUNCIL</x:v>
      </x:c>
      <x:c r="G15" s="22" t="str">
        <x:v>Hipótesis, evidencia, objeción, riesgo y recomendación propia.</x:v>
      </x:c>
      <x:c r="H15" s="22" t="str">
        <x:v>Pendiente de una sesión real.</x:v>
      </x:c>
      <x:c r="I15" s="22" t="str">
        <x:v>DISEÑADO_NO_EJECUTADO</x:v>
      </x:c>
    </x:row>
    <x:row r="16" ht="48" customHeight="1">
      <x:c r="A16" s="16" t="n">
        <x:v>11</x:v>
      </x:c>
      <x:c r="B16" s="16" t="str">
        <x:v>d345c7bf-a05e-58bb-a434-412a8e018900</x:v>
      </x:c>
      <x:c r="C16" s="16" t="str">
        <x:v>Andrés Leiva</x:v>
      </x:c>
      <x:c r="D16" s="21" t="str">
        <x:v>Ingeniería de fiabilidad y operación</x:v>
      </x:c>
      <x:c r="E16" s="21" t="str">
        <x:f>'Organigrama'!C16</x:f>
        <x:v>SI</x:v>
      </x:c>
      <x:c r="F16" s="21" t="str">
        <x:v>COUNCIL</x:v>
      </x:c>
      <x:c r="G16" s="21" t="str">
        <x:v>Hipótesis, evidencia, objeción, riesgo y recomendación propia.</x:v>
      </x:c>
      <x:c r="H16" s="21" t="str">
        <x:v>Pendiente de una sesión real.</x:v>
      </x:c>
      <x:c r="I16" s="21" t="str">
        <x:v>DISEÑADO_NO_EJECUTADO</x:v>
      </x:c>
    </x:row>
    <x:row r="17" ht="48" customHeight="1">
      <x:c r="A17" s="2" t="n">
        <x:v>12</x:v>
      </x:c>
      <x:c r="B17" s="2" t="str">
        <x:v>07345392-10e4-596b-8261-723199a106c2</x:v>
      </x:c>
      <x:c r="C17" s="2" t="str">
        <x:v>Hugo Serrano</x:v>
      </x:c>
      <x:c r="D17" s="22" t="str">
        <x:v>Auditoría de conciliación y valor</x:v>
      </x:c>
      <x:c r="E17" s="22" t="str">
        <x:f>'Organigrama'!C17</x:f>
        <x:v>SI</x:v>
      </x:c>
      <x:c r="F17" s="22" t="str">
        <x:v>COUNCIL</x:v>
      </x:c>
      <x:c r="G17" s="22" t="str">
        <x:v>Hipótesis, evidencia, objeción, riesgo y recomendación propia.</x:v>
      </x:c>
      <x:c r="H17" s="22" t="str">
        <x:v>Pendiente de una sesión real.</x:v>
      </x:c>
      <x:c r="I17" s="22" t="str">
        <x:v>DISEÑADO_NO_EJECUTADO</x:v>
      </x:c>
    </x:row>
    <x:row r="18" ht="48" customHeight="1">
      <x:c r="A18" s="16" t="n">
        <x:v>13</x:v>
      </x:c>
      <x:c r="B18" s="16" t="str">
        <x:v>671a9d2a-3d9b-59c7-a72d-d2bb53363c01</x:v>
      </x:c>
      <x:c r="C18" s="16" t="str">
        <x:v>Sofía Montalvo</x:v>
      </x:c>
      <x:c r="D18" s="21" t="str">
        <x:v>Gestión de integración y publicación</x:v>
      </x:c>
      <x:c r="E18" s="21" t="str">
        <x:f>'Organigrama'!C18</x:f>
        <x:v>SI</x:v>
      </x:c>
      <x:c r="F18" s="21" t="str">
        <x:v>COUNCIL</x:v>
      </x:c>
      <x:c r="G18" s="21" t="str">
        <x:v>Hipótesis, evidencia, objeción, riesgo y recomendación propia.</x:v>
      </x:c>
      <x:c r="H18" s="21" t="str">
        <x:v>Pendiente de una sesión real.</x:v>
      </x:c>
      <x:c r="I18" s="21" t="str">
        <x:v>DISEÑADO_NO_EJECUTADO</x:v>
      </x:c>
    </x:row>
    <x:row r="19" ht="48" customHeight="1">
      <x:c r="A19" s="2" t="n">
        <x:v>14</x:v>
      </x:c>
      <x:c r="B19" s="2" t="str">
        <x:v>fecfbc1e-c2cd-54a1-a338-63717e2da523</x:v>
      </x:c>
      <x:c r="C19" s="2" t="str">
        <x:v>Adriana Soler</x:v>
      </x:c>
      <x:c r="D19" s="22" t="str">
        <x:v>Ingeniería de datos y persistencia</x:v>
      </x:c>
      <x:c r="E19" s="22" t="str">
        <x:f>'Organigrama'!C19</x:f>
        <x:v>SI</x:v>
      </x:c>
      <x:c r="F19" s="22" t="str">
        <x:v>COUNCIL</x:v>
      </x:c>
      <x:c r="G19" s="22" t="str">
        <x:v>Hipótesis, evidencia, objeción, riesgo y recomendación propia.</x:v>
      </x:c>
      <x:c r="H19" s="22" t="str">
        <x:v>Pendiente de una sesión real.</x:v>
      </x:c>
      <x:c r="I19" s="22" t="str">
        <x:v>DISEÑADO_NO_EJECUTADO</x:v>
      </x:c>
    </x:row>
    <x:row r="20" ht="48" customHeight="1">
      <x:c r="A20" s="16" t="n">
        <x:v>15</x:v>
      </x:c>
      <x:c r="B20" s="16" t="str">
        <x:v>1379d506-d159-59a8-9f7b-7e017d2f464d</x:v>
      </x:c>
      <x:c r="C20" s="16" t="str">
        <x:v>Tomás Aranda</x:v>
      </x:c>
      <x:c r="D20" s="21" t="str">
        <x:v>Ingeniería de integraciones</x:v>
      </x:c>
      <x:c r="E20" s="21" t="str">
        <x:f>'Organigrama'!C20</x:f>
        <x:v>SI</x:v>
      </x:c>
      <x:c r="F20" s="21" t="str">
        <x:v>COUNCIL</x:v>
      </x:c>
      <x:c r="G20" s="21" t="str">
        <x:v>Hipótesis, evidencia, objeción, riesgo y recomendación propia.</x:v>
      </x:c>
      <x:c r="H20" s="21" t="str">
        <x:v>Pendiente de una sesión real.</x:v>
      </x:c>
      <x:c r="I20" s="21" t="str">
        <x:v>DISEÑADO_NO_EJECUTADO</x:v>
      </x:c>
    </x:row>
    <x:row r="21" ht="48" customHeight="1">
      <x:c r="A21" s="2" t="n">
        <x:v>16</x:v>
      </x:c>
      <x:c r="B21" s="2" t="str">
        <x:v>3de093dc-2587-582d-9d90-d593478fc65a</x:v>
      </x:c>
      <x:c r="C21" s="2" t="str">
        <x:v>Diego Cárdenas</x:v>
      </x:c>
      <x:c r="D21" s="22" t="str">
        <x:v>Ingeniería de contratos y transacciones</x:v>
      </x:c>
      <x:c r="E21" s="22" t="str">
        <x:f>'Organigrama'!C21</x:f>
        <x:v>SI</x:v>
      </x:c>
      <x:c r="F21" s="22" t="str">
        <x:v>COUNCIL</x:v>
      </x:c>
      <x:c r="G21" s="22" t="str">
        <x:v>Hipótesis, evidencia, objeción, riesgo y recomendación propia.</x:v>
      </x:c>
      <x:c r="H21" s="22" t="str">
        <x:v>Pendiente de una sesión real.</x:v>
      </x:c>
      <x:c r="I21" s="22" t="str">
        <x:v>DISEÑADO_NO_EJECUTADO</x:v>
      </x:c>
    </x:row>
    <x:row r="22" ht="48" customHeight="1">
      <x:c r="A22" s="16" t="n">
        <x:v>17</x:v>
      </x:c>
      <x:c r="B22" s="16" t="str">
        <x:v>3c77aa48-d378-5352-b961-686581792862</x:v>
      </x:c>
      <x:c r="C22" s="16" t="str">
        <x:v>Clara Beltrán</x:v>
      </x:c>
      <x:c r="D22" s="21" t="str">
        <x:v>Investigación cuantitativa y validación matemática</x:v>
      </x:c>
      <x:c r="E22" s="21" t="str">
        <x:f>'Organigrama'!C22</x:f>
        <x:v>SI</x:v>
      </x:c>
      <x:c r="F22" s="21" t="str">
        <x:v>COUNCIL</x:v>
      </x:c>
      <x:c r="G22" s="21" t="str">
        <x:v>Hipótesis, evidencia, objeción, riesgo y recomendación propia.</x:v>
      </x:c>
      <x:c r="H22" s="21" t="str">
        <x:v>Pendiente de una sesión real.</x:v>
      </x:c>
      <x:c r="I22" s="21" t="str">
        <x:v>DISEÑADO_NO_EJECUTADO</x:v>
      </x:c>
    </x:row>
    <x:row r="23" ht="48" customHeight="1">
      <x:c r="A23" s="2" t="n">
        <x:v>18</x:v>
      </x:c>
      <x:c r="B23" s="2" t="str">
        <x:v>c8fe5355-4371-5e3f-8a3f-160bcb90fdbb</x:v>
      </x:c>
      <x:c r="C23" s="2" t="str">
        <x:v>Marina Duarte</x:v>
      </x:c>
      <x:c r="D23" s="22" t="str">
        <x:v>Ingeniería de grafos y búsqueda</x:v>
      </x:c>
      <x:c r="E23" s="22" t="str">
        <x:f>'Organigrama'!C23</x:f>
        <x:v>SI</x:v>
      </x:c>
      <x:c r="F23" s="22" t="str">
        <x:v>COUNCIL</x:v>
      </x:c>
      <x:c r="G23" s="22" t="str">
        <x:v>Hipótesis, evidencia, objeción, riesgo y recomendación propia.</x:v>
      </x:c>
      <x:c r="H23" s="22" t="str">
        <x:v>Pendiente de una sesión real.</x:v>
      </x:c>
      <x:c r="I23" s="22" t="str">
        <x:v>DISEÑADO_NO_EJECUTADO</x:v>
      </x:c>
    </x:row>
    <x:row r="24" ht="48" customHeight="1">
      <x:c r="A24" s="16" t="n">
        <x:v>19</x:v>
      </x:c>
      <x:c r="B24" s="16" t="str">
        <x:v>c4c6a704-6b59-5c0c-b8bc-53edb6d2f769</x:v>
      </x:c>
      <x:c r="C24" s="16" t="str">
        <x:v>Pablo Alarcón</x:v>
      </x:c>
      <x:c r="D24" s="21" t="str">
        <x:v>Investigación de sistemas y escenarios</x:v>
      </x:c>
      <x:c r="E24" s="21" t="str">
        <x:f>'Organigrama'!C24</x:f>
        <x:v>SI</x:v>
      </x:c>
      <x:c r="F24" s="21" t="str">
        <x:v>COUNCIL</x:v>
      </x:c>
      <x:c r="G24" s="21" t="str">
        <x:v>Hipótesis, evidencia, objeción, riesgo y recomendación propia.</x:v>
      </x:c>
      <x:c r="H24" s="21" t="str">
        <x:v>Pendiente de una sesión real.</x:v>
      </x:c>
      <x:c r="I24" s="21" t="str">
        <x:v>DISEÑADO_NO_EJECUTADO</x:v>
      </x:c>
    </x:row>
    <x:row r="25" ht="48" customHeight="1">
      <x:c r="A25" s="2" t="n">
        <x:v>20</x:v>
      </x:c>
      <x:c r="B25" s="2" t="str">
        <x:v>e389f32c-1b45-5781-b5f8-61f4c9fbfdd3</x:v>
      </x:c>
      <x:c r="C25" s="2" t="str">
        <x:v>Bruno Calderón</x:v>
      </x:c>
      <x:c r="D25" s="22" t="str">
        <x:v>Ingeniería de navegador y recorridos E2E</x:v>
      </x:c>
      <x:c r="E25" s="22" t="str">
        <x:f>'Organigrama'!C25</x:f>
        <x:v>SI</x:v>
      </x:c>
      <x:c r="F25" s="22" t="str">
        <x:v>COUNCIL</x:v>
      </x:c>
      <x:c r="G25" s="22" t="str">
        <x:v>Hipótesis, evidencia, objeción, riesgo y recomendación propia.</x:v>
      </x:c>
      <x:c r="H25" s="22" t="str">
        <x:v>Pendiente de una sesión real.</x:v>
      </x:c>
      <x:c r="I25" s="22" t="str">
        <x:v>DISEÑADO_NO_EJECUTADO</x:v>
      </x:c>
    </x:row>
    <x:row r="26" ht="48" customHeight="1">
      <x:c r="A26" s="16" t="n">
        <x:v>21</x:v>
      </x:c>
      <x:c r="B26" s="16" t="str">
        <x:v>b6e1a9d2-14dc-5a48-b2c8-c1c54966b009</x:v>
      </x:c>
      <x:c r="C26" s="16" t="str">
        <x:v>Natalia Sanz</x:v>
      </x:c>
      <x:c r="D26" s="21" t="str">
        <x:v>Ingeniería de paridad y compatibilidad</x:v>
      </x:c>
      <x:c r="E26" s="21" t="str">
        <x:f>'Organigrama'!C26</x:f>
        <x:v>SI</x:v>
      </x:c>
      <x:c r="F26" s="21" t="str">
        <x:v>COUNCIL</x:v>
      </x:c>
      <x:c r="G26" s="21" t="str">
        <x:v>Hipótesis, evidencia, objeción, riesgo y recomendación propia.</x:v>
      </x:c>
      <x:c r="H26" s="21" t="str">
        <x:v>Pendiente de una sesión real.</x:v>
      </x:c>
      <x:c r="I26" s="21" t="str">
        <x:v>DISEÑADO_NO_EJECUTADO</x:v>
      </x:c>
    </x:row>
    <x:row r="27" ht="48" customHeight="1">
      <x:c r="A27" s="2" t="n">
        <x:v>22</x:v>
      </x:c>
      <x:c r="B27" s="2" t="str">
        <x:v>d256860f-67f4-534a-a1e0-3db4e7d220d2</x:v>
      </x:c>
      <x:c r="C27" s="2" t="str">
        <x:v>Daniela Fuentes</x:v>
      </x:c>
      <x:c r="D27" s="22" t="str">
        <x:v>Ingeniería de agentes y evaluaciones</x:v>
      </x:c>
      <x:c r="E27" s="22" t="str">
        <x:f>'Organigrama'!C27</x:f>
        <x:v>SI</x:v>
      </x:c>
      <x:c r="F27" s="22" t="str">
        <x:v>COUNCIL</x:v>
      </x:c>
      <x:c r="G27" s="22" t="str">
        <x:v>Hipótesis, evidencia, objeción, riesgo y recomendación propia.</x:v>
      </x:c>
      <x:c r="H27" s="22" t="str">
        <x:v>Pendiente de una sesión real.</x:v>
      </x:c>
      <x:c r="I27" s="22" t="str">
        <x:v>DISEÑADO_NO_EJECUTADO</x:v>
      </x:c>
    </x:row>
    <x:row r="28" ht="48" customHeight="1">
      <x:c r="A28" s="16" t="n">
        <x:v>23</x:v>
      </x:c>
      <x:c r="B28" s="16" t="str">
        <x:v>d59b0906-7517-59bb-a0d2-0c0fb8215ba2</x:v>
      </x:c>
      <x:c r="C28" s="16" t="str">
        <x:v>Julián Escobar</x:v>
      </x:c>
      <x:c r="D28" s="21" t="str">
        <x:v>Ingeniería de especificación y trazabilidad</x:v>
      </x:c>
      <x:c r="E28" s="21" t="str">
        <x:f>'Organigrama'!C28</x:f>
        <x:v>SI</x:v>
      </x:c>
      <x:c r="F28" s="21" t="str">
        <x:v>COUNCIL</x:v>
      </x:c>
      <x:c r="G28" s="21" t="str">
        <x:v>Hipótesis, evidencia, objeción, riesgo y recomendación propia.</x:v>
      </x:c>
      <x:c r="H28" s="21" t="str">
        <x:v>Pendiente de una sesión real.</x:v>
      </x:c>
      <x:c r="I28" s="21" t="str">
        <x:v>DISEÑADO_NO_EJECUTADO</x:v>
      </x:c>
    </x:row>
    <x:row r="29" ht="48" customHeight="1">
      <x:c r="A29" s="2" t="n">
        <x:v>24</x:v>
      </x:c>
      <x:c r="B29" s="2" t="str">
        <x:v>ff0d8395-2a3a-5d1d-9185-63c3aa3c19e7</x:v>
      </x:c>
      <x:c r="C29" s="2" t="str">
        <x:v>Camila Navarro</x:v>
      </x:c>
      <x:c r="D29" s="22" t="str">
        <x:v>Ingeniería de rendimiento y capacidad</x:v>
      </x:c>
      <x:c r="E29" s="22" t="str">
        <x:f>'Organigrama'!C29</x:f>
        <x:v>SI</x:v>
      </x:c>
      <x:c r="F29" s="22" t="str">
        <x:v>COUNCIL</x:v>
      </x:c>
      <x:c r="G29" s="22" t="str">
        <x:v>Hipótesis, evidencia, objeción, riesgo y recomendación propia.</x:v>
      </x:c>
      <x:c r="H29" s="22" t="str">
        <x:v>Pendiente de una sesión real.</x:v>
      </x:c>
      <x:c r="I29" s="22" t="str">
        <x:v>DISEÑADO_NO_EJECUTADO</x:v>
      </x:c>
    </x:row>
    <x:row r="30" ht="48" customHeight="1">
      <x:c r="A30" s="16" t="n">
        <x:v>25</x:v>
      </x:c>
      <x:c r="B30" s="16" t="str">
        <x:v>12f7ca75-e682-5b12-8ae6-8c244c20a17d</x:v>
      </x:c>
      <x:c r="C30" s="16" t="str">
        <x:v>Celia Paredes</x:v>
      </x:c>
      <x:c r="D30" s="21" t="str">
        <x:v>Investigación de experiencia de usuario</x:v>
      </x:c>
      <x:c r="E30" s="21" t="str">
        <x:f>'Organigrama'!C30</x:f>
        <x:v>NO</x:v>
      </x:c>
      <x:c r="F30" s="21" t="str">
        <x:v>COUNCIL</x:v>
      </x:c>
      <x:c r="G30" s="21" t="str">
        <x:v>Hipótesis, evidencia, objeción, riesgo y recomendación propia.</x:v>
      </x:c>
      <x:c r="H30" s="21" t="str">
        <x:v>Pendiente de una sesión real.</x:v>
      </x:c>
      <x:c r="I30" s="21" t="str">
        <x:v>DISEÑADO_NO_EJECUTADO</x:v>
      </x:c>
    </x:row>
    <x:row r="31" ht="48" customHeight="1">
      <x:c r="A31" s="2" t="n">
        <x:v>26</x:v>
      </x:c>
      <x:c r="B31" s="2" t="str">
        <x:v>66c9f7cb-1cdd-5f66-b5cc-d85ee800e1c2</x:v>
      </x:c>
      <x:c r="C31" s="2" t="str">
        <x:v>Adrián Lago</x:v>
      </x:c>
      <x:c r="D31" s="22" t="str">
        <x:v>Ingeniería de privacidad</x:v>
      </x:c>
      <x:c r="E31" s="22" t="str">
        <x:f>'Organigrama'!C31</x:f>
        <x:v>NO</x:v>
      </x:c>
      <x:c r="F31" s="22" t="str">
        <x:v>COUNCIL</x:v>
      </x:c>
      <x:c r="G31" s="22" t="str">
        <x:v>Hipótesis, evidencia, objeción, riesgo y recomendación propia.</x:v>
      </x:c>
      <x:c r="H31" s="22" t="str">
        <x:v>Pendiente de una sesión real.</x:v>
      </x:c>
      <x:c r="I31" s="22" t="str">
        <x:v>DISEÑADO_NO_EJECUTADO</x:v>
      </x:c>
    </x:row>
    <x:row r="32" ht="48" customHeight="1">
      <x:c r="A32" s="16" t="n">
        <x:v>27</x:v>
      </x:c>
      <x:c r="B32" s="16" t="str">
        <x:v>3ad1cb20-61e1-5d94-9e4c-c5a3fa46b33f</x:v>
      </x:c>
      <x:c r="C32" s="16" t="str">
        <x:v>Lara Cortés</x:v>
      </x:c>
      <x:c r="D32" s="21" t="str">
        <x:v>Ingeniería de compilación y dependencias</x:v>
      </x:c>
      <x:c r="E32" s="21" t="str">
        <x:f>'Organigrama'!C32</x:f>
        <x:v>NO</x:v>
      </x:c>
      <x:c r="F32" s="21" t="str">
        <x:v>COUNCIL</x:v>
      </x:c>
      <x:c r="G32" s="21" t="str">
        <x:v>Hipótesis, evidencia, objeción, riesgo y recomendación propia.</x:v>
      </x:c>
      <x:c r="H32" s="21" t="str">
        <x:v>Pendiente de una sesión real.</x:v>
      </x:c>
      <x:c r="I32" s="21" t="str">
        <x:v>DISEÑADO_NO_EJECUTADO</x:v>
      </x:c>
    </x:row>
    <x:row r="33" ht="48" customHeight="1">
      <x:c r="A33" s="2" t="n">
        <x:v>28</x:v>
      </x:c>
      <x:c r="B33" s="2" t="str">
        <x:v>d973d3a9-99af-5196-a624-ab2b8106fc50</x:v>
      </x:c>
      <x:c r="C33" s="2" t="str">
        <x:v>Nora Medina</x:v>
      </x:c>
      <x:c r="D33" s="22" t="str">
        <x:v>Ingeniería de resiliencia y fallos</x:v>
      </x:c>
      <x:c r="E33" s="22" t="str">
        <x:f>'Organigrama'!C33</x:f>
        <x:v>NO</x:v>
      </x:c>
      <x:c r="F33" s="22" t="str">
        <x:v>COUNCIL</x:v>
      </x:c>
      <x:c r="G33" s="22" t="str">
        <x:v>Hipótesis, evidencia, objeción, riesgo y recomendación propia.</x:v>
      </x:c>
      <x:c r="H33" s="22" t="str">
        <x:v>Pendiente de una sesión real.</x:v>
      </x:c>
      <x:c r="I33" s="22" t="str">
        <x:v>DISEÑADO_NO_EJECUTADO</x:v>
      </x:c>
    </x:row>
    <x:row r="34" ht="48" customHeight="1">
      <x:c r="A34" s="16" t="n">
        <x:v>29</x:v>
      </x:c>
      <x:c r="B34" s="16" t="str">
        <x:v>f8f7b237-45c0-5cb4-8312-9aa011fff51c</x:v>
      </x:c>
      <x:c r="C34" s="16" t="str">
        <x:v>Emilio Ponce</x:v>
      </x:c>
      <x:c r="D34" s="21" t="str">
        <x:v>Ingeniería de documentación y soporte</x:v>
      </x:c>
      <x:c r="E34" s="21" t="str">
        <x:f>'Organigrama'!C34</x:f>
        <x:v>NO</x:v>
      </x:c>
      <x:c r="F34" s="21" t="str">
        <x:v>COUNCIL</x:v>
      </x:c>
      <x:c r="G34" s="21" t="str">
        <x:v>Hipótesis, evidencia, objeción, riesgo y recomendación propia.</x:v>
      </x:c>
      <x:c r="H34" s="21" t="str">
        <x:v>Pendiente de una sesión real.</x:v>
      </x:c>
      <x:c r="I34" s="21" t="str">
        <x:v>DISEÑADO_NO_EJECUTADO</x:v>
      </x:c>
    </x:row>
    <x:row r="35" ht="48" customHeight="1">
      <x:c r="A35" s="2" t="n">
        <x:v>30</x:v>
      </x:c>
      <x:c r="B35" s="2" t="str">
        <x:v>9763e17a-745d-52bf-9028-361ca76dc1df</x:v>
      </x:c>
      <x:c r="C35" s="2" t="str">
        <x:v>Álvaro Del Valle</x:v>
      </x:c>
      <x:c r="D35" s="22" t="str">
        <x:v>Ingeniería de búsqueda y recuperación</x:v>
      </x:c>
      <x:c r="E35" s="22" t="str">
        <x:f>'Organigrama'!C35</x:f>
        <x:v>NO</x:v>
      </x:c>
      <x:c r="F35" s="22" t="str">
        <x:v>COUNCIL</x:v>
      </x:c>
      <x:c r="G35" s="22" t="str">
        <x:v>Hipótesis, evidencia, objeción, riesgo y recomendación propia.</x:v>
      </x:c>
      <x:c r="H35" s="22" t="str">
        <x:v>Pendiente de una sesión real.</x:v>
      </x:c>
      <x:c r="I35" s="22" t="str">
        <x:v>DISEÑADO_NO_EJECUTADO</x:v>
      </x:c>
    </x:row>
    <x:row r="36" ht="48" customHeight="1">
      <x:c r="A36" s="16" t="n">
        <x:v>31</x:v>
      </x:c>
      <x:c r="B36" s="16" t="str">
        <x:v>90e4ef89-dcda-52c7-b1b6-b3bf69865b78</x:v>
      </x:c>
      <x:c r="C36" s="16" t="str">
        <x:v>León Arenas</x:v>
      </x:c>
      <x:c r="D36" s="21" t="str">
        <x:v>Ingeniería de costes y sostenibilidad</x:v>
      </x:c>
      <x:c r="E36" s="21" t="str">
        <x:f>'Organigrama'!C36</x:f>
        <x:v>NO</x:v>
      </x:c>
      <x:c r="F36" s="21" t="str">
        <x:v>COUNCIL</x:v>
      </x:c>
      <x:c r="G36" s="21" t="str">
        <x:v>Hipótesis, evidencia, objeción, riesgo y recomendación propia.</x:v>
      </x:c>
      <x:c r="H36" s="21" t="str">
        <x:v>Pendiente de una sesión real.</x:v>
      </x:c>
      <x:c r="I36" s="21" t="str">
        <x:v>DISEÑADO_NO_EJECUTADO</x:v>
      </x:c>
    </x:row>
    <x:row r="37" ht="48" customHeight="1">
      <x:c r="A37" s="2" t="n">
        <x:v>32</x:v>
      </x:c>
      <x:c r="B37" s="2" t="str">
        <x:v>94429739-9d07-57f1-9916-28096885385e</x:v>
      </x:c>
      <x:c r="C37" s="2" t="str">
        <x:v>Marta Cifuentes</x:v>
      </x:c>
      <x:c r="D37" s="22" t="str">
        <x:v>Ingeniería móvil y dispositivos</x:v>
      </x:c>
      <x:c r="E37" s="22" t="str">
        <x:f>'Organigrama'!C37</x:f>
        <x:v>NO</x:v>
      </x:c>
      <x:c r="F37" s="22" t="str">
        <x:v>COUNCIL</x:v>
      </x:c>
      <x:c r="G37" s="22" t="str">
        <x:v>Hipótesis, evidencia, objeción, riesgo y recomendación propia.</x:v>
      </x:c>
      <x:c r="H37" s="22" t="str">
        <x:v>Pendiente de una sesión real.</x:v>
      </x:c>
      <x:c r="I37" s="22" t="str">
        <x:v>DISEÑADO_NO_EJECUTADO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25" hidden="0" customWidth="1"/>
    <x:col min="3" max="3" width="26" hidden="0" customWidth="1"/>
    <x:col min="4" max="4" width="40" hidden="0" customWidth="1"/>
    <x:col min="5" max="5" width="40" hidden="0" customWidth="1"/>
    <x:col min="6" max="6" width="40" hidden="0" customWidth="1"/>
    <x:col min="7" max="7" width="75" hidden="0" customWidth="1"/>
    <x:col min="8" max="8" width="48" hidden="0" customWidth="1"/>
    <x:col min="9" max="9" width="32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Subequipos, auditoría y consulta</x:v>
      </x:c>
      <x:c r="B2" s="2"/>
      <x:c r="C2" s="2"/>
      <x:c r="D2" s="2"/>
      <x:c r="E2" s="2"/>
      <x:c r="F2" s="2"/>
      <x:c r="G2" s="2"/>
      <x:c r="H2" s="2"/>
      <x:c r="I2" s="2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5" customHeight="1">
      <x:c r="A4" s="25" t="str">
        <x:v>La independencia debe recalcularse en el motor si cambias N o span. Nadie certifica su propio trabajo.</x:v>
      </x:c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3" t="str">
        <x:v>Slot</x:v>
      </x:c>
      <x:c r="B5" s="14" t="str">
        <x:v>Responsable</x:v>
      </x:c>
      <x:c r="C5" s="14" t="str">
        <x:v>Área</x:v>
      </x:c>
      <x:c r="D5" s="14" t="str">
        <x:v>Supervisor</x:v>
      </x:c>
      <x:c r="E5" s="14" t="str">
        <x:v>Auditor propuesto</x:v>
      </x:c>
      <x:c r="F5" s="14" t="str">
        <x:v>Consultor propuesto</x:v>
      </x:c>
      <x:c r="G5" s="14" t="str">
        <x:v>Alcance</x:v>
      </x:c>
      <x:c r="H5" s="14" t="str">
        <x:v>Independencia</x:v>
      </x:c>
      <x:c r="I5" s="15" t="str">
        <x:v>Estado</x:v>
      </x:c>
    </x:row>
    <x:row r="6" ht="66" customHeight="1">
      <x:c r="A6" s="16" t="n">
        <x:v>1</x:v>
      </x:c>
      <x:c r="B6" s="16" t="str">
        <x:v>Elena Valdés</x:v>
      </x:c>
      <x:c r="C6" s="21" t="str">
        <x:v>Dirección</x:v>
      </x:c>
      <x:c r="D6" s="21" t="str">
        <x:f>'Organigrama'!H6</x:f>
        <x:v>OWNER_EXTERNAL</x:v>
      </x:c>
      <x:c r="E6" s="21" t="str">
        <x:v>OWNER_EXTERNAL</x:v>
      </x:c>
      <x:c r="F6" s="21" t="str">
        <x:v>2e4033f6-9f72-5c6b-9180-6e9aa1efcf9f</x:v>
      </x:c>
      <x:c r="G6" s="21" t="str">
        <x:v>Auditoría funcional por candidato y SHA. Consultor propuesto del pool funcional; confirmar alcance antes de asignar.</x:v>
      </x:c>
      <x:c r="H6" s="21" t="str">
        <x:v>No existe auditor interno libre de conflicto jerárquico; Owner debe resolver antes de aprobar.</x:v>
      </x:c>
      <x:c r="I6" s="21" t="str">
        <x:v>DISEÑADO_NO_EJECUTADO</x:v>
      </x:c>
    </x:row>
    <x:row r="7" ht="66" customHeight="1">
      <x:c r="A7" s="2" t="n">
        <x:v>2</x:v>
      </x:c>
      <x:c r="B7" s="2" t="str">
        <x:v>Gabriel Montes</x:v>
      </x:c>
      <x:c r="C7" s="22" t="str">
        <x:v>Arquitectura</x:v>
      </x:c>
      <x:c r="D7" s="22" t="str">
        <x:f>'Organigrama'!H7</x:f>
        <x:v>bb4f7927-7d2f-4ff7-a467-dc999ac59c2a</x:v>
      </x:c>
      <x:c r="E7" s="22" t="str">
        <x:v>2afbda5b-fcb1-55de-aac1-1d3a29e2662b</x:v>
      </x:c>
      <x:c r="F7" s="22" t="str">
        <x:v>c8fe5355-4371-5e3f-8a3f-160bcb90fdbb</x:v>
      </x:c>
      <x:c r="G7" s="22" t="str">
        <x:v>Auditoría funcional por candidato y SHA. Consultor propuesto del pool funcional; confirmar alcance antes de asignar.</x:v>
      </x:c>
      <x:c r="H7" s="22" t="str">
        <x:v>Sin autoría compartida, sin relación ancestro/descendiente; verificar conflicto real por artefacto.</x:v>
      </x:c>
      <x:c r="I7" s="22" t="str">
        <x:v>DISEÑADO_NO_EJECUTADO</x:v>
      </x:c>
    </x:row>
    <x:row r="8" ht="66" customHeight="1">
      <x:c r="A8" s="16" t="n">
        <x:v>3</x:v>
      </x:c>
      <x:c r="B8" s="16" t="str">
        <x:v>Santiago Vidal</x:v>
      </x:c>
      <x:c r="C8" s="21" t="str">
        <x:v>Aseguramiento</x:v>
      </x:c>
      <x:c r="D8" s="21" t="str">
        <x:f>'Organigrama'!H8</x:f>
        <x:v>bb4f7927-7d2f-4ff7-a467-dc999ac59c2a</x:v>
      </x:c>
      <x:c r="E8" s="21" t="str">
        <x:v>07345392-10e4-596b-8261-723199a106c2</x:v>
      </x:c>
      <x:c r="F8" s="21" t="str">
        <x:v>c8fe5355-4371-5e3f-8a3f-160bcb90fdbb</x:v>
      </x:c>
      <x:c r="G8" s="21" t="str">
        <x:v>Auditoría funcional por candidato y SHA. Consultor propuesto del pool funcional; confirmar alcance antes de asignar.</x:v>
      </x:c>
      <x:c r="H8" s="21" t="str">
        <x:v>Sin autoría compartida, sin relación ancestro/descendiente; verificar conflicto real por artefacto.</x:v>
      </x:c>
      <x:c r="I8" s="21" t="str">
        <x:v>DISEÑADO_NO_EJECUTADO</x:v>
      </x:c>
    </x:row>
    <x:row r="9" ht="66" customHeight="1">
      <x:c r="A9" s="2" t="n">
        <x:v>4</x:v>
      </x:c>
      <x:c r="B9" s="2" t="str">
        <x:v>Alba Prieto</x:v>
      </x:c>
      <x:c r="C9" s="22" t="str">
        <x:v>Operaciones</x:v>
      </x:c>
      <x:c r="D9" s="22" t="str">
        <x:f>'Organigrama'!H9</x:f>
        <x:v>bb4f7927-7d2f-4ff7-a467-dc999ac59c2a</x:v>
      </x:c>
      <x:c r="E9" s="22" t="str">
        <x:v>2afbda5b-fcb1-55de-aac1-1d3a29e2662b</x:v>
      </x:c>
      <x:c r="F9" s="22" t="str">
        <x:v>c4c6a704-6b59-5c0c-b8bc-53edb6d2f769</x:v>
      </x:c>
      <x:c r="G9" s="22" t="str">
        <x:v>Auditoría funcional por candidato y SHA. Consultor propuesto del pool funcional; confirmar alcance antes de asignar.</x:v>
      </x:c>
      <x:c r="H9" s="22" t="str">
        <x:v>Sin autoría compartida, sin relación ancestro/descendiente; verificar conflicto real por artefacto.</x:v>
      </x:c>
      <x:c r="I9" s="22" t="str">
        <x:v>DISEÑADO_NO_EJECUTADO</x:v>
      </x:c>
    </x:row>
    <x:row r="10" ht="66" customHeight="1">
      <x:c r="A10" s="16" t="n">
        <x:v>5</x:v>
      </x:c>
      <x:c r="B10" s="16" t="str">
        <x:v>Mateo Salvatierra</x:v>
      </x:c>
      <x:c r="C10" s="21" t="str">
        <x:v>Ingeniería</x:v>
      </x:c>
      <x:c r="D10" s="21" t="str">
        <x:f>'Organigrama'!H10</x:f>
        <x:v>2e4033f6-9f72-5c6b-9180-6e9aa1efcf9f</x:v>
      </x:c>
      <x:c r="E10" s="21" t="str">
        <x:v>2afbda5b-fcb1-55de-aac1-1d3a29e2662b</x:v>
      </x:c>
      <x:c r="F10" s="21" t="str">
        <x:v>d59b0906-7517-59bb-a0d2-0c0fb8215ba2</x:v>
      </x:c>
      <x:c r="G10" s="21" t="str">
        <x:v>Auditoría funcional por candidato y SHA. Consultor propuesto del pool funcional; confirmar alcance antes de asignar.</x:v>
      </x:c>
      <x:c r="H10" s="21" t="str">
        <x:v>Sin autoría compartida, sin relación ancestro/descendiente; verificar conflicto real por artefacto.</x:v>
      </x:c>
      <x:c r="I10" s="21" t="str">
        <x:v>DISEÑADO_NO_EJECUTADO</x:v>
      </x:c>
    </x:row>
    <x:row r="11" ht="66" customHeight="1">
      <x:c r="A11" s="2" t="n">
        <x:v>6</x:v>
      </x:c>
      <x:c r="B11" s="2" t="str">
        <x:v>Lucía Ferrer</x:v>
      </x:c>
      <x:c r="C11" s="22" t="str">
        <x:v>Ingeniería</x:v>
      </x:c>
      <x:c r="D11" s="22" t="str">
        <x:f>'Organigrama'!H11</x:f>
        <x:v>2e4033f6-9f72-5c6b-9180-6e9aa1efcf9f</x:v>
      </x:c>
      <x:c r="E11" s="22" t="str">
        <x:v>2afbda5b-fcb1-55de-aac1-1d3a29e2662b</x:v>
      </x:c>
      <x:c r="F11" s="22" t="str">
        <x:v>2e4033f6-9f72-5c6b-9180-6e9aa1efcf9f</x:v>
      </x:c>
      <x:c r="G11" s="22" t="str">
        <x:v>Auditoría funcional por candidato y SHA. Consultor propuesto del pool funcional; confirmar alcance antes de asignar.</x:v>
      </x:c>
      <x:c r="H11" s="22" t="str">
        <x:v>Sin autoría compartida, sin relación ancestro/descendiente; verificar conflicto real por artefacto.</x:v>
      </x:c>
      <x:c r="I11" s="22" t="str">
        <x:v>DISEÑADO_NO_EJECUTADO</x:v>
      </x:c>
    </x:row>
    <x:row r="12" ht="66" customHeight="1">
      <x:c r="A12" s="16" t="n">
        <x:v>7</x:v>
      </x:c>
      <x:c r="B12" s="16" t="str">
        <x:v>Nicolás Vega</x:v>
      </x:c>
      <x:c r="C12" s="21" t="str">
        <x:v>Experiencia</x:v>
      </x:c>
      <x:c r="D12" s="21" t="str">
        <x:f>'Organigrama'!H12</x:f>
        <x:v>2e4033f6-9f72-5c6b-9180-6e9aa1efcf9f</x:v>
      </x:c>
      <x:c r="E12" s="21" t="str">
        <x:v>2afbda5b-fcb1-55de-aac1-1d3a29e2662b</x:v>
      </x:c>
      <x:c r="F12" s="21" t="str">
        <x:v>3c77aa48-d378-5352-b961-686581792862</x:v>
      </x:c>
      <x:c r="G12" s="21" t="str">
        <x:v>Auditoría funcional por candidato y SHA. Consultor propuesto del pool funcional; confirmar alcance antes de asignar.</x:v>
      </x:c>
      <x:c r="H12" s="21" t="str">
        <x:v>Sin autoría compartida, sin relación ancestro/descendiente; verificar conflicto real por artefacto.</x:v>
      </x:c>
      <x:c r="I12" s="21" t="str">
        <x:v>DISEÑADO_NO_EJECUTADO</x:v>
      </x:c>
    </x:row>
    <x:row r="13" ht="66" customHeight="1">
      <x:c r="A13" s="2" t="n">
        <x:v>8</x:v>
      </x:c>
      <x:c r="B13" s="2" t="str">
        <x:v>Inés Robles</x:v>
      </x:c>
      <x:c r="C13" s="22" t="str">
        <x:v>Aseguramiento</x:v>
      </x:c>
      <x:c r="D13" s="22" t="str">
        <x:f>'Organigrama'!H13</x:f>
        <x:v>d37e22a3-3427-53f5-a11b-2f741d9ee58a</x:v>
      </x:c>
      <x:c r="E13" s="22" t="str">
        <x:v>2afbda5b-fcb1-55de-aac1-1d3a29e2662b</x:v>
      </x:c>
      <x:c r="F13" s="22" t="str">
        <x:v>c8fe5355-4371-5e3f-8a3f-160bcb90fdbb</x:v>
      </x:c>
      <x:c r="G13" s="22" t="str">
        <x:v>Auditoría funcional por candidato y SHA. Consultor propuesto del pool funcional; confirmar alcance antes de asignar.</x:v>
      </x:c>
      <x:c r="H13" s="22" t="str">
        <x:v>Sin autoría compartida, sin relación ancestro/descendiente; verificar conflicto real por artefacto.</x:v>
      </x:c>
      <x:c r="I13" s="22" t="str">
        <x:v>DISEÑADO_NO_EJECUTADO</x:v>
      </x:c>
    </x:row>
    <x:row r="14" ht="66" customHeight="1">
      <x:c r="A14" s="16" t="n">
        <x:v>9</x:v>
      </x:c>
      <x:c r="B14" s="16" t="str">
        <x:v>Valeria Ríos</x:v>
      </x:c>
      <x:c r="C14" s="21" t="str">
        <x:v>Aseguramiento</x:v>
      </x:c>
      <x:c r="D14" s="21" t="str">
        <x:f>'Organigrama'!H14</x:f>
        <x:v>d37e22a3-3427-53f5-a11b-2f741d9ee58a</x:v>
      </x:c>
      <x:c r="E14" s="21" t="str">
        <x:v>2afbda5b-fcb1-55de-aac1-1d3a29e2662b</x:v>
      </x:c>
      <x:c r="F14" s="21" t="str">
        <x:v>c4c6a704-6b59-5c0c-b8bc-53edb6d2f769</x:v>
      </x:c>
      <x:c r="G14" s="21" t="str">
        <x:v>Auditoría funcional por candidato y SHA. Consultor propuesto del pool funcional; confirmar alcance antes de asignar.</x:v>
      </x:c>
      <x:c r="H14" s="21" t="str">
        <x:v>Sin autoría compartida, sin relación ancestro/descendiente; verificar conflicto real por artefacto.</x:v>
      </x:c>
      <x:c r="I14" s="21" t="str">
        <x:v>DISEÑADO_NO_EJECUTADO</x:v>
      </x:c>
    </x:row>
    <x:row r="15" ht="66" customHeight="1">
      <x:c r="A15" s="2" t="n">
        <x:v>10</x:v>
      </x:c>
      <x:c r="B15" s="2" t="str">
        <x:v>Iván Olivares</x:v>
      </x:c>
      <x:c r="C15" s="22" t="str">
        <x:v>Aseguramiento</x:v>
      </x:c>
      <x:c r="D15" s="22" t="str">
        <x:f>'Organigrama'!H15</x:f>
        <x:v>d37e22a3-3427-53f5-a11b-2f741d9ee58a</x:v>
      </x:c>
      <x:c r="E15" s="22" t="str">
        <x:v>8453288b-95e1-456f-8bf5-07f2567c2e90</x:v>
      </x:c>
      <x:c r="F15" s="22" t="str">
        <x:v>d59b0906-7517-59bb-a0d2-0c0fb8215ba2</x:v>
      </x:c>
      <x:c r="G15" s="22" t="str">
        <x:v>Auditoría funcional por candidato y SHA. Consultor propuesto del pool funcional; confirmar alcance antes de asignar.</x:v>
      </x:c>
      <x:c r="H15" s="22" t="str">
        <x:v>Sin autoría compartida, sin relación ancestro/descendiente; verificar conflicto real por artefacto.</x:v>
      </x:c>
      <x:c r="I15" s="22" t="str">
        <x:v>DISEÑADO_NO_EJECUTADO</x:v>
      </x:c>
    </x:row>
    <x:row r="16" ht="66" customHeight="1">
      <x:c r="A16" s="16" t="n">
        <x:v>11</x:v>
      </x:c>
      <x:c r="B16" s="16" t="str">
        <x:v>Andrés Leiva</x:v>
      </x:c>
      <x:c r="C16" s="21" t="str">
        <x:v>Operaciones</x:v>
      </x:c>
      <x:c r="D16" s="21" t="str">
        <x:f>'Organigrama'!H16</x:f>
        <x:v>039fa8c8-ba62-5929-837c-dd6480445976</x:v>
      </x:c>
      <x:c r="E16" s="21" t="str">
        <x:v>2afbda5b-fcb1-55de-aac1-1d3a29e2662b</x:v>
      </x:c>
      <x:c r="F16" s="21" t="str">
        <x:v>2e4033f6-9f72-5c6b-9180-6e9aa1efcf9f</x:v>
      </x:c>
      <x:c r="G16" s="21" t="str">
        <x:v>Auditoría funcional por candidato y SHA. Consultor propuesto del pool funcional; confirmar alcance antes de asignar.</x:v>
      </x:c>
      <x:c r="H16" s="21" t="str">
        <x:v>Sin autoría compartida, sin relación ancestro/descendiente; verificar conflicto real por artefacto.</x:v>
      </x:c>
      <x:c r="I16" s="21" t="str">
        <x:v>DISEÑADO_NO_EJECUTADO</x:v>
      </x:c>
    </x:row>
    <x:row r="17" ht="66" customHeight="1">
      <x:c r="A17" s="2" t="n">
        <x:v>12</x:v>
      </x:c>
      <x:c r="B17" s="2" t="str">
        <x:v>Hugo Serrano</x:v>
      </x:c>
      <x:c r="C17" s="22" t="str">
        <x:v>Aseguramiento</x:v>
      </x:c>
      <x:c r="D17" s="22" t="str">
        <x:f>'Organigrama'!H17</x:f>
        <x:v>039fa8c8-ba62-5929-837c-dd6480445976</x:v>
      </x:c>
      <x:c r="E17" s="22" t="str">
        <x:v>2afbda5b-fcb1-55de-aac1-1d3a29e2662b</x:v>
      </x:c>
      <x:c r="F17" s="22" t="str">
        <x:v>3c77aa48-d378-5352-b961-686581792862</x:v>
      </x:c>
      <x:c r="G17" s="22" t="str">
        <x:v>Auditoría funcional por candidato y SHA. Consultor propuesto del pool funcional; confirmar alcance antes de asignar.</x:v>
      </x:c>
      <x:c r="H17" s="22" t="str">
        <x:v>Sin autoría compartida, sin relación ancestro/descendiente; verificar conflicto real por artefacto.</x:v>
      </x:c>
      <x:c r="I17" s="22" t="str">
        <x:v>DISEÑADO_NO_EJECUTADO</x:v>
      </x:c>
    </x:row>
    <x:row r="18" ht="66" customHeight="1">
      <x:c r="A18" s="16" t="n">
        <x:v>13</x:v>
      </x:c>
      <x:c r="B18" s="16" t="str">
        <x:v>Sofía Montalvo</x:v>
      </x:c>
      <x:c r="C18" s="21" t="str">
        <x:v>Entrega</x:v>
      </x:c>
      <x:c r="D18" s="21" t="str">
        <x:f>'Organigrama'!H18</x:f>
        <x:v>039fa8c8-ba62-5929-837c-dd6480445976</x:v>
      </x:c>
      <x:c r="E18" s="21" t="str">
        <x:v>2afbda5b-fcb1-55de-aac1-1d3a29e2662b</x:v>
      </x:c>
      <x:c r="F18" s="21" t="str">
        <x:v>c8fe5355-4371-5e3f-8a3f-160bcb90fdbb</x:v>
      </x:c>
      <x:c r="G18" s="21" t="str">
        <x:v>Auditoría funcional por candidato y SHA. Consultor propuesto del pool funcional; confirmar alcance antes de asignar.</x:v>
      </x:c>
      <x:c r="H18" s="21" t="str">
        <x:v>Sin autoría compartida, sin relación ancestro/descendiente; verificar conflicto real por artefacto.</x:v>
      </x:c>
      <x:c r="I18" s="21" t="str">
        <x:v>DISEÑADO_NO_EJECUTADO</x:v>
      </x:c>
    </x:row>
    <x:row r="19" ht="66" customHeight="1">
      <x:c r="A19" s="2" t="n">
        <x:v>14</x:v>
      </x:c>
      <x:c r="B19" s="2" t="str">
        <x:v>Adriana Soler</x:v>
      </x:c>
      <x:c r="C19" s="22" t="str">
        <x:v>Datos</x:v>
      </x:c>
      <x:c r="D19" s="22" t="str">
        <x:f>'Organigrama'!H19</x:f>
        <x:v>8869c04c-628b-4bc3-a46c-25acb993b698</x:v>
      </x:c>
      <x:c r="E19" s="22" t="str">
        <x:v>2afbda5b-fcb1-55de-aac1-1d3a29e2662b</x:v>
      </x:c>
      <x:c r="F19" s="22" t="str">
        <x:v>c4c6a704-6b59-5c0c-b8bc-53edb6d2f769</x:v>
      </x:c>
      <x:c r="G19" s="22" t="str">
        <x:v>Auditoría funcional por candidato y SHA. Consultor propuesto del pool funcional; confirmar alcance antes de asignar.</x:v>
      </x:c>
      <x:c r="H19" s="22" t="str">
        <x:v>Sin autoría compartida, sin relación ancestro/descendiente; verificar conflicto real por artefacto.</x:v>
      </x:c>
      <x:c r="I19" s="22" t="str">
        <x:v>DISEÑADO_NO_EJECUTADO</x:v>
      </x:c>
    </x:row>
    <x:row r="20" ht="66" customHeight="1">
      <x:c r="A20" s="16" t="n">
        <x:v>15</x:v>
      </x:c>
      <x:c r="B20" s="16" t="str">
        <x:v>Tomás Aranda</x:v>
      </x:c>
      <x:c r="C20" s="21" t="str">
        <x:v>Plataforma</x:v>
      </x:c>
      <x:c r="D20" s="21" t="str">
        <x:f>'Organigrama'!H20</x:f>
        <x:v>8869c04c-628b-4bc3-a46c-25acb993b698</x:v>
      </x:c>
      <x:c r="E20" s="21" t="str">
        <x:v>2afbda5b-fcb1-55de-aac1-1d3a29e2662b</x:v>
      </x:c>
      <x:c r="F20" s="21" t="str">
        <x:v>d59b0906-7517-59bb-a0d2-0c0fb8215ba2</x:v>
      </x:c>
      <x:c r="G20" s="21" t="str">
        <x:v>Auditoría funcional por candidato y SHA. Consultor propuesto del pool funcional; confirmar alcance antes de asignar.</x:v>
      </x:c>
      <x:c r="H20" s="21" t="str">
        <x:v>Sin autoría compartida, sin relación ancestro/descendiente; verificar conflicto real por artefacto.</x:v>
      </x:c>
      <x:c r="I20" s="21" t="str">
        <x:v>DISEÑADO_NO_EJECUTADO</x:v>
      </x:c>
    </x:row>
    <x:row r="21" ht="66" customHeight="1">
      <x:c r="A21" s="2" t="n">
        <x:v>16</x:v>
      </x:c>
      <x:c r="B21" s="2" t="str">
        <x:v>Diego Cárdenas</x:v>
      </x:c>
      <x:c r="C21" s="22" t="str">
        <x:v>Seguridad técnica</x:v>
      </x:c>
      <x:c r="D21" s="22" t="str">
        <x:f>'Organigrama'!H21</x:f>
        <x:v>8869c04c-628b-4bc3-a46c-25acb993b698</x:v>
      </x:c>
      <x:c r="E21" s="22" t="str">
        <x:v>2afbda5b-fcb1-55de-aac1-1d3a29e2662b</x:v>
      </x:c>
      <x:c r="F21" s="22" t="str">
        <x:v>2e4033f6-9f72-5c6b-9180-6e9aa1efcf9f</x:v>
      </x:c>
      <x:c r="G21" s="22" t="str">
        <x:v>Auditoría funcional por candidato y SHA. Consultor propuesto del pool funcional; confirmar alcance antes de asignar.</x:v>
      </x:c>
      <x:c r="H21" s="22" t="str">
        <x:v>Sin autoría compartida, sin relación ancestro/descendiente; verificar conflicto real por artefacto.</x:v>
      </x:c>
      <x:c r="I21" s="22" t="str">
        <x:v>DISEÑADO_NO_EJECUTADO</x:v>
      </x:c>
    </x:row>
    <x:row r="22" ht="66" customHeight="1">
      <x:c r="A22" s="16" t="n">
        <x:v>17</x:v>
      </x:c>
      <x:c r="B22" s="16" t="str">
        <x:v>Clara Beltrán</x:v>
      </x:c>
      <x:c r="C22" s="21" t="str">
        <x:v>Investigación</x:v>
      </x:c>
      <x:c r="D22" s="21" t="str">
        <x:f>'Organigrama'!H22</x:f>
        <x:v>04bb8901-fa3c-545a-878b-a3cf462e3a65</x:v>
      </x:c>
      <x:c r="E22" s="21" t="str">
        <x:v>2afbda5b-fcb1-55de-aac1-1d3a29e2662b</x:v>
      </x:c>
      <x:c r="F22" s="21" t="str">
        <x:v>2e4033f6-9f72-5c6b-9180-6e9aa1efcf9f</x:v>
      </x:c>
      <x:c r="G22" s="21" t="str">
        <x:v>Auditoría funcional por candidato y SHA. Consultor propuesto del pool funcional; confirmar alcance antes de asignar.</x:v>
      </x:c>
      <x:c r="H22" s="21" t="str">
        <x:v>Sin autoría compartida, sin relación ancestro/descendiente; verificar conflicto real por artefacto.</x:v>
      </x:c>
      <x:c r="I22" s="21" t="str">
        <x:v>DISEÑADO_NO_EJECUTADO</x:v>
      </x:c>
    </x:row>
    <x:row r="23" ht="66" customHeight="1">
      <x:c r="A23" s="2" t="n">
        <x:v>18</x:v>
      </x:c>
      <x:c r="B23" s="2" t="str">
        <x:v>Marina Duarte</x:v>
      </x:c>
      <x:c r="C23" s="22" t="str">
        <x:v>Algoritmos</x:v>
      </x:c>
      <x:c r="D23" s="22" t="str">
        <x:f>'Organigrama'!H23</x:f>
        <x:v>04bb8901-fa3c-545a-878b-a3cf462e3a65</x:v>
      </x:c>
      <x:c r="E23" s="22" t="str">
        <x:v>2afbda5b-fcb1-55de-aac1-1d3a29e2662b</x:v>
      </x:c>
      <x:c r="F23" s="22" t="str">
        <x:v>3c77aa48-d378-5352-b961-686581792862</x:v>
      </x:c>
      <x:c r="G23" s="22" t="str">
        <x:v>Auditoría funcional por candidato y SHA. Consultor propuesto del pool funcional; confirmar alcance antes de asignar.</x:v>
      </x:c>
      <x:c r="H23" s="22" t="str">
        <x:v>Sin autoría compartida, sin relación ancestro/descendiente; verificar conflicto real por artefacto.</x:v>
      </x:c>
      <x:c r="I23" s="22" t="str">
        <x:v>DISEÑADO_NO_EJECUTADO</x:v>
      </x:c>
    </x:row>
    <x:row r="24" ht="66" customHeight="1">
      <x:c r="A24" s="16" t="n">
        <x:v>19</x:v>
      </x:c>
      <x:c r="B24" s="16" t="str">
        <x:v>Pablo Alarcón</x:v>
      </x:c>
      <x:c r="C24" s="21" t="str">
        <x:v>Investigación</x:v>
      </x:c>
      <x:c r="D24" s="21" t="str">
        <x:f>'Organigrama'!H24</x:f>
        <x:v>04bb8901-fa3c-545a-878b-a3cf462e3a65</x:v>
      </x:c>
      <x:c r="E24" s="21" t="str">
        <x:v>2afbda5b-fcb1-55de-aac1-1d3a29e2662b</x:v>
      </x:c>
      <x:c r="F24" s="21" t="str">
        <x:v>c8fe5355-4371-5e3f-8a3f-160bcb90fdbb</x:v>
      </x:c>
      <x:c r="G24" s="21" t="str">
        <x:v>Auditoría funcional por candidato y SHA. Consultor propuesto del pool funcional; confirmar alcance antes de asignar.</x:v>
      </x:c>
      <x:c r="H24" s="21" t="str">
        <x:v>Sin autoría compartida, sin relación ancestro/descendiente; verificar conflicto real por artefacto.</x:v>
      </x:c>
      <x:c r="I24" s="21" t="str">
        <x:v>DISEÑADO_NO_EJECUTADO</x:v>
      </x:c>
    </x:row>
    <x:row r="25" ht="66" customHeight="1">
      <x:c r="A25" s="2" t="n">
        <x:v>20</x:v>
      </x:c>
      <x:c r="B25" s="2" t="str">
        <x:v>Bruno Calderón</x:v>
      </x:c>
      <x:c r="C25" s="22" t="str">
        <x:v>Calidad</x:v>
      </x:c>
      <x:c r="D25" s="22" t="str">
        <x:f>'Organigrama'!H25</x:f>
        <x:v>d28d2e1d-94c6-55cf-96e3-502260dadeb1</x:v>
      </x:c>
      <x:c r="E25" s="22" t="str">
        <x:v>2afbda5b-fcb1-55de-aac1-1d3a29e2662b</x:v>
      </x:c>
      <x:c r="F25" s="22" t="str">
        <x:v>d59b0906-7517-59bb-a0d2-0c0fb8215ba2</x:v>
      </x:c>
      <x:c r="G25" s="22" t="str">
        <x:v>Auditoría funcional por candidato y SHA. Consultor propuesto del pool funcional; confirmar alcance antes de asignar.</x:v>
      </x:c>
      <x:c r="H25" s="22" t="str">
        <x:v>Sin autoría compartida, sin relación ancestro/descendiente; verificar conflicto real por artefacto.</x:v>
      </x:c>
      <x:c r="I25" s="22" t="str">
        <x:v>DISEÑADO_NO_EJECUTADO</x:v>
      </x:c>
    </x:row>
    <x:row r="26" ht="66" customHeight="1">
      <x:c r="A26" s="16" t="n">
        <x:v>21</x:v>
      </x:c>
      <x:c r="B26" s="16" t="str">
        <x:v>Natalia Sanz</x:v>
      </x:c>
      <x:c r="C26" s="21" t="str">
        <x:v>Calidad</x:v>
      </x:c>
      <x:c r="D26" s="21" t="str">
        <x:f>'Organigrama'!H26</x:f>
        <x:v>d28d2e1d-94c6-55cf-96e3-502260dadeb1</x:v>
      </x:c>
      <x:c r="E26" s="21" t="str">
        <x:v>2afbda5b-fcb1-55de-aac1-1d3a29e2662b</x:v>
      </x:c>
      <x:c r="F26" s="21" t="str">
        <x:v>2e4033f6-9f72-5c6b-9180-6e9aa1efcf9f</x:v>
      </x:c>
      <x:c r="G26" s="21" t="str">
        <x:v>Auditoría funcional por candidato y SHA. Consultor propuesto del pool funcional; confirmar alcance antes de asignar.</x:v>
      </x:c>
      <x:c r="H26" s="21" t="str">
        <x:v>Sin autoría compartida, sin relación ancestro/descendiente; verificar conflicto real por artefacto.</x:v>
      </x:c>
      <x:c r="I26" s="21" t="str">
        <x:v>DISEÑADO_NO_EJECUTADO</x:v>
      </x:c>
    </x:row>
    <x:row r="27" ht="66" customHeight="1">
      <x:c r="A27" s="2" t="n">
        <x:v>22</x:v>
      </x:c>
      <x:c r="B27" s="2" t="str">
        <x:v>Daniela Fuentes</x:v>
      </x:c>
      <x:c r="C27" s="22" t="str">
        <x:v>Inteligencia aplicada</x:v>
      </x:c>
      <x:c r="D27" s="22" t="str">
        <x:f>'Organigrama'!H27</x:f>
        <x:v>d28d2e1d-94c6-55cf-96e3-502260dadeb1</x:v>
      </x:c>
      <x:c r="E27" s="22" t="str">
        <x:v>2afbda5b-fcb1-55de-aac1-1d3a29e2662b</x:v>
      </x:c>
      <x:c r="F27" s="22" t="str">
        <x:v>3c77aa48-d378-5352-b961-686581792862</x:v>
      </x:c>
      <x:c r="G27" s="22" t="str">
        <x:v>Auditoría funcional por candidato y SHA. Consultor propuesto del pool funcional; confirmar alcance antes de asignar.</x:v>
      </x:c>
      <x:c r="H27" s="22" t="str">
        <x:v>Sin autoría compartida, sin relación ancestro/descendiente; verificar conflicto real por artefacto.</x:v>
      </x:c>
      <x:c r="I27" s="22" t="str">
        <x:v>DISEÑADO_NO_EJECUTADO</x:v>
      </x:c>
    </x:row>
    <x:row r="28" ht="66" customHeight="1">
      <x:c r="A28" s="16" t="n">
        <x:v>23</x:v>
      </x:c>
      <x:c r="B28" s="16" t="str">
        <x:v>Julián Escobar</x:v>
      </x:c>
      <x:c r="C28" s="21" t="str">
        <x:v>Producto</x:v>
      </x:c>
      <x:c r="D28" s="21" t="str">
        <x:f>'Organigrama'!H28</x:f>
        <x:v>8453288b-95e1-456f-8bf5-07f2567c2e90</x:v>
      </x:c>
      <x:c r="E28" s="21" t="str">
        <x:v>2afbda5b-fcb1-55de-aac1-1d3a29e2662b</x:v>
      </x:c>
      <x:c r="F28" s="21" t="str">
        <x:v>c8fe5355-4371-5e3f-8a3f-160bcb90fdbb</x:v>
      </x:c>
      <x:c r="G28" s="21" t="str">
        <x:v>Auditoría funcional por candidato y SHA. Consultor propuesto del pool funcional; confirmar alcance antes de asignar.</x:v>
      </x:c>
      <x:c r="H28" s="21" t="str">
        <x:v>Sin autoría compartida, sin relación ancestro/descendiente; verificar conflicto real por artefacto.</x:v>
      </x:c>
      <x:c r="I28" s="21" t="str">
        <x:v>DISEÑADO_NO_EJECUTADO</x:v>
      </x:c>
    </x:row>
    <x:row r="29" ht="66" customHeight="1">
      <x:c r="A29" s="2" t="n">
        <x:v>24</x:v>
      </x:c>
      <x:c r="B29" s="2" t="str">
        <x:v>Camila Navarro</x:v>
      </x:c>
      <x:c r="C29" s="22" t="str">
        <x:v>Plataforma</x:v>
      </x:c>
      <x:c r="D29" s="22" t="str">
        <x:f>'Organigrama'!H29</x:f>
        <x:v>8453288b-95e1-456f-8bf5-07f2567c2e90</x:v>
      </x:c>
      <x:c r="E29" s="22" t="str">
        <x:v>2afbda5b-fcb1-55de-aac1-1d3a29e2662b</x:v>
      </x:c>
      <x:c r="F29" s="22" t="str">
        <x:v>c4c6a704-6b59-5c0c-b8bc-53edb6d2f769</x:v>
      </x:c>
      <x:c r="G29" s="22" t="str">
        <x:v>Auditoría funcional por candidato y SHA. Consultor propuesto del pool funcional; confirmar alcance antes de asignar.</x:v>
      </x:c>
      <x:c r="H29" s="22" t="str">
        <x:v>Sin autoría compartida, sin relación ancestro/descendiente; verificar conflicto real por artefacto.</x:v>
      </x:c>
      <x:c r="I29" s="22" t="str">
        <x:v>DISEÑADO_NO_EJECUTADO</x:v>
      </x:c>
    </x:row>
    <x:row r="30" ht="66" customHeight="1">
      <x:c r="A30" s="16" t="n">
        <x:v>25</x:v>
      </x:c>
      <x:c r="B30" s="16" t="str">
        <x:v>Celia Paredes</x:v>
      </x:c>
      <x:c r="C30" s="21" t="str">
        <x:v>Experiencia</x:v>
      </x:c>
      <x:c r="D30" s="21" t="str">
        <x:f>'Organigrama'!H30</x:f>
      </x:c>
      <x:c r="E30" s="21" t="str">
        <x:v>OWNER_EXTERNAL</x:v>
      </x:c>
      <x:c r="F30" s="21" t="str">
        <x:v>d59b0906-7517-59bb-a0d2-0c0fb8215ba2</x:v>
      </x:c>
      <x:c r="G30" s="21" t="str">
        <x:v>Auditoría funcional por candidato y SHA. Consultor propuesto del pool funcional; confirmar alcance antes de asignar.</x:v>
      </x:c>
      <x:c r="H30" s="21" t="str">
        <x:v>REVISAR_ANTES_DE_EJECUTAR</x:v>
      </x:c>
      <x:c r="I30" s="21" t="str">
        <x:v>DISEÑADO_NO_EJECUTADO</x:v>
      </x:c>
    </x:row>
    <x:row r="31" ht="66" customHeight="1">
      <x:c r="A31" s="2" t="n">
        <x:v>26</x:v>
      </x:c>
      <x:c r="B31" s="2" t="str">
        <x:v>Adrián Lago</x:v>
      </x:c>
      <x:c r="C31" s="22" t="str">
        <x:v>Aseguramiento</x:v>
      </x:c>
      <x:c r="D31" s="22" t="str">
        <x:f>'Organigrama'!H31</x:f>
      </x:c>
      <x:c r="E31" s="22" t="str">
        <x:v>OWNER_EXTERNAL</x:v>
      </x:c>
      <x:c r="F31" s="22" t="str">
        <x:v>2e4033f6-9f72-5c6b-9180-6e9aa1efcf9f</x:v>
      </x:c>
      <x:c r="G31" s="22" t="str">
        <x:v>Auditoría funcional por candidato y SHA. Consultor propuesto del pool funcional; confirmar alcance antes de asignar.</x:v>
      </x:c>
      <x:c r="H31" s="22" t="str">
        <x:v>REVISAR_ANTES_DE_EJECUTAR</x:v>
      </x:c>
      <x:c r="I31" s="22" t="str">
        <x:v>DISEÑADO_NO_EJECUTADO</x:v>
      </x:c>
    </x:row>
    <x:row r="32" ht="66" customHeight="1">
      <x:c r="A32" s="16" t="n">
        <x:v>27</x:v>
      </x:c>
      <x:c r="B32" s="16" t="str">
        <x:v>Lara Cortés</x:v>
      </x:c>
      <x:c r="C32" s="21" t="str">
        <x:v>Plataforma</x:v>
      </x:c>
      <x:c r="D32" s="21" t="str">
        <x:f>'Organigrama'!H32</x:f>
      </x:c>
      <x:c r="E32" s="21" t="str">
        <x:v>OWNER_EXTERNAL</x:v>
      </x:c>
      <x:c r="F32" s="21" t="str">
        <x:v>3c77aa48-d378-5352-b961-686581792862</x:v>
      </x:c>
      <x:c r="G32" s="21" t="str">
        <x:v>Auditoría funcional por candidato y SHA. Consultor propuesto del pool funcional; confirmar alcance antes de asignar.</x:v>
      </x:c>
      <x:c r="H32" s="21" t="str">
        <x:v>REVISAR_ANTES_DE_EJECUTAR</x:v>
      </x:c>
      <x:c r="I32" s="21" t="str">
        <x:v>DISEÑADO_NO_EJECUTADO</x:v>
      </x:c>
    </x:row>
    <x:row r="33" ht="66" customHeight="1">
      <x:c r="A33" s="2" t="n">
        <x:v>28</x:v>
      </x:c>
      <x:c r="B33" s="2" t="str">
        <x:v>Nora Medina</x:v>
      </x:c>
      <x:c r="C33" s="22" t="str">
        <x:v>Calidad</x:v>
      </x:c>
      <x:c r="D33" s="22" t="str">
        <x:f>'Organigrama'!H33</x:f>
      </x:c>
      <x:c r="E33" s="22" t="str">
        <x:v>OWNER_EXTERNAL</x:v>
      </x:c>
      <x:c r="F33" s="22" t="str">
        <x:v>c8fe5355-4371-5e3f-8a3f-160bcb90fdbb</x:v>
      </x:c>
      <x:c r="G33" s="22" t="str">
        <x:v>Auditoría funcional por candidato y SHA. Consultor propuesto del pool funcional; confirmar alcance antes de asignar.</x:v>
      </x:c>
      <x:c r="H33" s="22" t="str">
        <x:v>REVISAR_ANTES_DE_EJECUTAR</x:v>
      </x:c>
      <x:c r="I33" s="22" t="str">
        <x:v>DISEÑADO_NO_EJECUTADO</x:v>
      </x:c>
    </x:row>
    <x:row r="34" ht="66" customHeight="1">
      <x:c r="A34" s="16" t="n">
        <x:v>29</x:v>
      </x:c>
      <x:c r="B34" s="16" t="str">
        <x:v>Emilio Ponce</x:v>
      </x:c>
      <x:c r="C34" s="21" t="str">
        <x:v>Producto</x:v>
      </x:c>
      <x:c r="D34" s="21" t="str">
        <x:f>'Organigrama'!H34</x:f>
      </x:c>
      <x:c r="E34" s="21" t="str">
        <x:v>OWNER_EXTERNAL</x:v>
      </x:c>
      <x:c r="F34" s="21" t="str">
        <x:v>c4c6a704-6b59-5c0c-b8bc-53edb6d2f769</x:v>
      </x:c>
      <x:c r="G34" s="21" t="str">
        <x:v>Auditoría funcional por candidato y SHA. Consultor propuesto del pool funcional; confirmar alcance antes de asignar.</x:v>
      </x:c>
      <x:c r="H34" s="21" t="str">
        <x:v>REVISAR_ANTES_DE_EJECUTAR</x:v>
      </x:c>
      <x:c r="I34" s="21" t="str">
        <x:v>DISEÑADO_NO_EJECUTADO</x:v>
      </x:c>
    </x:row>
    <x:row r="35" ht="66" customHeight="1">
      <x:c r="A35" s="2" t="n">
        <x:v>30</x:v>
      </x:c>
      <x:c r="B35" s="2" t="str">
        <x:v>Álvaro Del Valle</x:v>
      </x:c>
      <x:c r="C35" s="22" t="str">
        <x:v>Datos</x:v>
      </x:c>
      <x:c r="D35" s="22" t="str">
        <x:f>'Organigrama'!H35</x:f>
      </x:c>
      <x:c r="E35" s="22" t="str">
        <x:v>OWNER_EXTERNAL</x:v>
      </x:c>
      <x:c r="F35" s="22" t="str">
        <x:v>d59b0906-7517-59bb-a0d2-0c0fb8215ba2</x:v>
      </x:c>
      <x:c r="G35" s="22" t="str">
        <x:v>Auditoría funcional por candidato y SHA. Consultor propuesto del pool funcional; confirmar alcance antes de asignar.</x:v>
      </x:c>
      <x:c r="H35" s="22" t="str">
        <x:v>REVISAR_ANTES_DE_EJECUTAR</x:v>
      </x:c>
      <x:c r="I35" s="22" t="str">
        <x:v>DISEÑADO_NO_EJECUTADO</x:v>
      </x:c>
    </x:row>
    <x:row r="36" ht="66" customHeight="1">
      <x:c r="A36" s="16" t="n">
        <x:v>31</x:v>
      </x:c>
      <x:c r="B36" s="16" t="str">
        <x:v>León Arenas</x:v>
      </x:c>
      <x:c r="C36" s="21" t="str">
        <x:v>Operaciones</x:v>
      </x:c>
      <x:c r="D36" s="21" t="str">
        <x:f>'Organigrama'!H36</x:f>
      </x:c>
      <x:c r="E36" s="21" t="str">
        <x:v>OWNER_EXTERNAL</x:v>
      </x:c>
      <x:c r="F36" s="21" t="str">
        <x:v>2e4033f6-9f72-5c6b-9180-6e9aa1efcf9f</x:v>
      </x:c>
      <x:c r="G36" s="21" t="str">
        <x:v>Auditoría funcional por candidato y SHA. Consultor propuesto del pool funcional; confirmar alcance antes de asignar.</x:v>
      </x:c>
      <x:c r="H36" s="21" t="str">
        <x:v>REVISAR_ANTES_DE_EJECUTAR</x:v>
      </x:c>
      <x:c r="I36" s="21" t="str">
        <x:v>DISEÑADO_NO_EJECUTADO</x:v>
      </x:c>
    </x:row>
    <x:row r="37" ht="66" customHeight="1">
      <x:c r="A37" s="2" t="n">
        <x:v>32</x:v>
      </x:c>
      <x:c r="B37" s="2" t="str">
        <x:v>Marta Cifuentes</x:v>
      </x:c>
      <x:c r="C37" s="22" t="str">
        <x:v>Ingeniería</x:v>
      </x:c>
      <x:c r="D37" s="22" t="n">
        <x:f>'Organigrama'!H37</x:f>
        <x:v>0</x:v>
      </x:c>
      <x:c r="E37" s="22" t="str">
        <x:v>OWNER_EXTERNAL</x:v>
      </x:c>
      <x:c r="F37" s="22" t="str">
        <x:v>3c77aa48-d378-5352-b961-686581792862</x:v>
      </x:c>
      <x:c r="G37" s="22" t="str">
        <x:v>Auditoría funcional por candidato y SHA. Consultor propuesto del pool funcional; confirmar alcance antes de asignar.</x:v>
      </x:c>
      <x:c r="H37" s="22" t="str">
        <x:v>REVISAR_ANTES_DE_EJECUTAR</x:v>
      </x:c>
      <x:c r="I37" s="22" t="str">
        <x:v>DISEÑADO_NO_EJECUTADO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8" hidden="0" customWidth="1"/>
    <x:col min="3" max="3" width="25" hidden="0" customWidth="1"/>
    <x:col min="4" max="4" width="68" hidden="0" customWidth="1"/>
    <x:col min="5" max="5" width="45" hidden="0" customWidth="1"/>
    <x:col min="6" max="6" width="75" hidden="0" customWidth="1"/>
    <x:col min="7" max="7" width="32" hidden="0" customWidth="1"/>
    <x:col min="8" max="8" width="55" hidden="0" customWidth="1"/>
    <x:col min="9" max="9" width="1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Registro de aprendizaje y corrección</x:v>
      </x:c>
      <x:c r="B2" s="2"/>
      <x:c r="C2" s="2"/>
      <x:c r="D2" s="2"/>
      <x:c r="E2" s="2"/>
      <x:c r="F2" s="2"/>
      <x:c r="G2" s="2"/>
      <x:c r="H2" s="2"/>
      <x:c r="I2" s="2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5" customHeight="1">
      <x:c r="A4" s="25" t="str">
        <x:v>Semillas de skills propuestas, no instaladas. Un fallo genera plan y evidencia; no una aprobación automática.</x:v>
      </x:c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3" t="str">
        <x:v>Registro</x:v>
      </x:c>
      <x:c r="B5" s="14" t="str">
        <x:v>Slot</x:v>
      </x:c>
      <x:c r="C5" s="14" t="str">
        <x:v>Responsable</x:v>
      </x:c>
      <x:c r="D5" s="14" t="str">
        <x:v>Fallo observado</x:v>
      </x:c>
      <x:c r="E5" s="14" t="str">
        <x:v>Skill propuesta</x:v>
      </x:c>
      <x:c r="F5" s="14" t="str">
        <x:v>Prueba de aceptación</x:v>
      </x:c>
      <x:c r="G5" s="14" t="str">
        <x:v>Estado</x:v>
      </x:c>
      <x:c r="H5" s="14" t="str">
        <x:v>Evidencia</x:v>
      </x:c>
      <x:c r="I5" s="15" t="str">
        <x:v>Versión</x:v>
      </x:c>
    </x:row>
    <x:row r="6" ht="60" customHeight="1">
      <x:c r="A6" s="16" t="str">
        <x:v>LEARN-001</x:v>
      </x:c>
      <x:c r="B6" s="16" t="n">
        <x:v>1</x:v>
      </x:c>
      <x:c r="C6" s="16" t="str">
        <x:v>Elena Valdés</x:v>
      </x:c>
      <x:c r="D6" s="19" t="str">
        <x:v>Sin ejecución registrada.</x:v>
      </x:c>
      <x:c r="E6" s="19" t="str">
        <x:v>systematic-debugging (propuesta)</x:v>
      </x:c>
      <x:c r="F6" s="19" t="str">
        <x:v>Reproducir fallo → causa raíz → corrección → retest independiente → registrar regresión.</x:v>
      </x:c>
      <x:c r="G6" s="19" t="str">
        <x:v>DISEÑADO_NO_EJECUTADO</x:v>
      </x:c>
      <x:c r="H6" s="19" t="str"/>
      <x:c r="I6" s="19" t="n">
        <x:v>1</x:v>
      </x:c>
    </x:row>
    <x:row r="7" ht="60" customHeight="1">
      <x:c r="A7" s="2" t="str">
        <x:v>LEARN-002</x:v>
      </x:c>
      <x:c r="B7" s="2" t="n">
        <x:v>2</x:v>
      </x:c>
      <x:c r="C7" s="2" t="str">
        <x:v>Gabriel Montes</x:v>
      </x:c>
      <x:c r="D7" s="19" t="str">
        <x:v>Sin ejecución registrada.</x:v>
      </x:c>
      <x:c r="E7" s="19" t="str">
        <x:v>webapp-testing (propuesta)</x:v>
      </x:c>
      <x:c r="F7" s="19" t="str">
        <x:v>Reproducir fallo → causa raíz → corrección → retest independiente → registrar regresión.</x:v>
      </x:c>
      <x:c r="G7" s="19" t="str">
        <x:v>DISEÑADO_NO_EJECUTADO</x:v>
      </x:c>
      <x:c r="H7" s="19" t="str"/>
      <x:c r="I7" s="19" t="n">
        <x:v>1</x:v>
      </x:c>
    </x:row>
    <x:row r="8" ht="60" customHeight="1">
      <x:c r="A8" s="16" t="str">
        <x:v>LEARN-003</x:v>
      </x:c>
      <x:c r="B8" s="16" t="n">
        <x:v>3</x:v>
      </x:c>
      <x:c r="C8" s="16" t="str">
        <x:v>Santiago Vidal</x:v>
      </x:c>
      <x:c r="D8" s="19" t="str">
        <x:v>Sin ejecución registrada.</x:v>
      </x:c>
      <x:c r="E8" s="19" t="str">
        <x:v>systematic-debugging (propuesta)</x:v>
      </x:c>
      <x:c r="F8" s="19" t="str">
        <x:v>Reproducir fallo → causa raíz → corrección → retest independiente → registrar regresión.</x:v>
      </x:c>
      <x:c r="G8" s="19" t="str">
        <x:v>DISEÑADO_NO_EJECUTADO</x:v>
      </x:c>
      <x:c r="H8" s="19" t="str"/>
      <x:c r="I8" s="19" t="n">
        <x:v>1</x:v>
      </x:c>
    </x:row>
    <x:row r="9" ht="60" customHeight="1">
      <x:c r="A9" s="2" t="str">
        <x:v>LEARN-004</x:v>
      </x:c>
      <x:c r="B9" s="2" t="n">
        <x:v>4</x:v>
      </x:c>
      <x:c r="C9" s="2" t="str">
        <x:v>Alba Prieto</x:v>
      </x:c>
      <x:c r="D9" s="19" t="str">
        <x:v>Sin ejecución registrada.</x:v>
      </x:c>
      <x:c r="E9" s="19" t="str">
        <x:v>webapp-testing (propuesta)</x:v>
      </x:c>
      <x:c r="F9" s="19" t="str">
        <x:v>Reproducir fallo → causa raíz → corrección → retest independiente → registrar regresión.</x:v>
      </x:c>
      <x:c r="G9" s="19" t="str">
        <x:v>DISEÑADO_NO_EJECUTADO</x:v>
      </x:c>
      <x:c r="H9" s="19" t="str"/>
      <x:c r="I9" s="19" t="n">
        <x:v>1</x:v>
      </x:c>
    </x:row>
    <x:row r="10" ht="60" customHeight="1">
      <x:c r="A10" s="16" t="str">
        <x:v>LEARN-005</x:v>
      </x:c>
      <x:c r="B10" s="16" t="n">
        <x:v>5</x:v>
      </x:c>
      <x:c r="C10" s="16" t="str">
        <x:v>Mateo Salvatierra</x:v>
      </x:c>
      <x:c r="D10" s="19" t="str">
        <x:v>Sin ejecución registrada.</x:v>
      </x:c>
      <x:c r="E10" s="19" t="str">
        <x:v>systematic-debugging (propuesta)</x:v>
      </x:c>
      <x:c r="F10" s="19" t="str">
        <x:v>Reproducir fallo → causa raíz → corrección → retest independiente → registrar regresión.</x:v>
      </x:c>
      <x:c r="G10" s="19" t="str">
        <x:v>DISEÑADO_NO_EJECUTADO</x:v>
      </x:c>
      <x:c r="H10" s="19" t="str"/>
      <x:c r="I10" s="19" t="n">
        <x:v>1</x:v>
      </x:c>
    </x:row>
    <x:row r="11" ht="60" customHeight="1">
      <x:c r="A11" s="2" t="str">
        <x:v>LEARN-006</x:v>
      </x:c>
      <x:c r="B11" s="2" t="n">
        <x:v>6</x:v>
      </x:c>
      <x:c r="C11" s="2" t="str">
        <x:v>Lucía Ferrer</x:v>
      </x:c>
      <x:c r="D11" s="19" t="str">
        <x:v>Sin ejecución registrada.</x:v>
      </x:c>
      <x:c r="E11" s="19" t="str">
        <x:v>webapp-testing (propuesta)</x:v>
      </x:c>
      <x:c r="F11" s="19" t="str">
        <x:v>Reproducir fallo → causa raíz → corrección → retest independiente → registrar regresión.</x:v>
      </x:c>
      <x:c r="G11" s="19" t="str">
        <x:v>DISEÑADO_NO_EJECUTADO</x:v>
      </x:c>
      <x:c r="H11" s="19" t="str"/>
      <x:c r="I11" s="19" t="n">
        <x:v>1</x:v>
      </x:c>
    </x:row>
    <x:row r="12" ht="60" customHeight="1">
      <x:c r="A12" s="16" t="str">
        <x:v>LEARN-007</x:v>
      </x:c>
      <x:c r="B12" s="16" t="n">
        <x:v>7</x:v>
      </x:c>
      <x:c r="C12" s="16" t="str">
        <x:v>Nicolás Vega</x:v>
      </x:c>
      <x:c r="D12" s="19" t="str">
        <x:v>Sin ejecución registrada.</x:v>
      </x:c>
      <x:c r="E12" s="19" t="str">
        <x:v>systematic-debugging (propuesta)</x:v>
      </x:c>
      <x:c r="F12" s="19" t="str">
        <x:v>Reproducir fallo → causa raíz → corrección → retest independiente → registrar regresión.</x:v>
      </x:c>
      <x:c r="G12" s="19" t="str">
        <x:v>DISEÑADO_NO_EJECUTADO</x:v>
      </x:c>
      <x:c r="H12" s="19" t="str"/>
      <x:c r="I12" s="19" t="n">
        <x:v>1</x:v>
      </x:c>
    </x:row>
    <x:row r="13" ht="60" customHeight="1">
      <x:c r="A13" s="2" t="str">
        <x:v>LEARN-008</x:v>
      </x:c>
      <x:c r="B13" s="2" t="n">
        <x:v>8</x:v>
      </x:c>
      <x:c r="C13" s="2" t="str">
        <x:v>Inés Robles</x:v>
      </x:c>
      <x:c r="D13" s="19" t="str">
        <x:v>Sin ejecución registrada.</x:v>
      </x:c>
      <x:c r="E13" s="19" t="str">
        <x:v>webapp-testing (propuesta)</x:v>
      </x:c>
      <x:c r="F13" s="19" t="str">
        <x:v>Reproducir fallo → causa raíz → corrección → retest independiente → registrar regresión.</x:v>
      </x:c>
      <x:c r="G13" s="19" t="str">
        <x:v>DISEÑADO_NO_EJECUTADO</x:v>
      </x:c>
      <x:c r="H13" s="19" t="str"/>
      <x:c r="I13" s="19" t="n">
        <x:v>1</x:v>
      </x:c>
    </x:row>
    <x:row r="14" ht="60" customHeight="1">
      <x:c r="A14" s="16" t="str">
        <x:v>LEARN-009</x:v>
      </x:c>
      <x:c r="B14" s="16" t="n">
        <x:v>9</x:v>
      </x:c>
      <x:c r="C14" s="16" t="str">
        <x:v>Valeria Ríos</x:v>
      </x:c>
      <x:c r="D14" s="19" t="str">
        <x:v>Sin ejecución registrada.</x:v>
      </x:c>
      <x:c r="E14" s="19" t="str">
        <x:v>systematic-debugging (propuesta)</x:v>
      </x:c>
      <x:c r="F14" s="19" t="str">
        <x:v>Reproducir fallo → causa raíz → corrección → retest independiente → registrar regresión.</x:v>
      </x:c>
      <x:c r="G14" s="19" t="str">
        <x:v>DISEÑADO_NO_EJECUTADO</x:v>
      </x:c>
      <x:c r="H14" s="19" t="str"/>
      <x:c r="I14" s="19" t="n">
        <x:v>1</x:v>
      </x:c>
    </x:row>
    <x:row r="15" ht="60" customHeight="1">
      <x:c r="A15" s="2" t="str">
        <x:v>LEARN-010</x:v>
      </x:c>
      <x:c r="B15" s="2" t="n">
        <x:v>10</x:v>
      </x:c>
      <x:c r="C15" s="2" t="str">
        <x:v>Iván Olivares</x:v>
      </x:c>
      <x:c r="D15" s="19" t="str">
        <x:v>Sin ejecución registrada.</x:v>
      </x:c>
      <x:c r="E15" s="19" t="str">
        <x:v>webapp-testing (propuesta)</x:v>
      </x:c>
      <x:c r="F15" s="19" t="str">
        <x:v>Reproducir fallo → causa raíz → corrección → retest independiente → registrar regresión.</x:v>
      </x:c>
      <x:c r="G15" s="19" t="str">
        <x:v>DISEÑADO_NO_EJECUTADO</x:v>
      </x:c>
      <x:c r="H15" s="19" t="str"/>
      <x:c r="I15" s="19" t="n">
        <x:v>1</x:v>
      </x:c>
    </x:row>
    <x:row r="16" ht="60" customHeight="1">
      <x:c r="A16" s="16" t="str">
        <x:v>LEARN-011</x:v>
      </x:c>
      <x:c r="B16" s="16" t="n">
        <x:v>11</x:v>
      </x:c>
      <x:c r="C16" s="16" t="str">
        <x:v>Andrés Leiva</x:v>
      </x:c>
      <x:c r="D16" s="19" t="str">
        <x:v>Sin ejecución registrada.</x:v>
      </x:c>
      <x:c r="E16" s="19" t="str">
        <x:v>systematic-debugging (propuesta)</x:v>
      </x:c>
      <x:c r="F16" s="19" t="str">
        <x:v>Reproducir fallo → causa raíz → corrección → retest independiente → registrar regresión.</x:v>
      </x:c>
      <x:c r="G16" s="19" t="str">
        <x:v>DISEÑADO_NO_EJECUTADO</x:v>
      </x:c>
      <x:c r="H16" s="19" t="str"/>
      <x:c r="I16" s="19" t="n">
        <x:v>1</x:v>
      </x:c>
    </x:row>
    <x:row r="17" ht="60" customHeight="1">
      <x:c r="A17" s="2" t="str">
        <x:v>LEARN-012</x:v>
      </x:c>
      <x:c r="B17" s="2" t="n">
        <x:v>12</x:v>
      </x:c>
      <x:c r="C17" s="2" t="str">
        <x:v>Hugo Serrano</x:v>
      </x:c>
      <x:c r="D17" s="19" t="str">
        <x:v>Sin ejecución registrada.</x:v>
      </x:c>
      <x:c r="E17" s="19" t="str">
        <x:v>webapp-testing (propuesta)</x:v>
      </x:c>
      <x:c r="F17" s="19" t="str">
        <x:v>Reproducir fallo → causa raíz → corrección → retest independiente → registrar regresión.</x:v>
      </x:c>
      <x:c r="G17" s="19" t="str">
        <x:v>DISEÑADO_NO_EJECUTADO</x:v>
      </x:c>
      <x:c r="H17" s="19" t="str"/>
      <x:c r="I17" s="19" t="n">
        <x:v>1</x:v>
      </x:c>
    </x:row>
    <x:row r="18" ht="60" customHeight="1">
      <x:c r="A18" s="16" t="str">
        <x:v>LEARN-013</x:v>
      </x:c>
      <x:c r="B18" s="16" t="n">
        <x:v>13</x:v>
      </x:c>
      <x:c r="C18" s="16" t="str">
        <x:v>Sofía Montalvo</x:v>
      </x:c>
      <x:c r="D18" s="19" t="str">
        <x:v>Sin ejecución registrada.</x:v>
      </x:c>
      <x:c r="E18" s="19" t="str">
        <x:v>systematic-debugging (propuesta)</x:v>
      </x:c>
      <x:c r="F18" s="19" t="str">
        <x:v>Reproducir fallo → causa raíz → corrección → retest independiente → registrar regresión.</x:v>
      </x:c>
      <x:c r="G18" s="19" t="str">
        <x:v>DISEÑADO_NO_EJECUTADO</x:v>
      </x:c>
      <x:c r="H18" s="19" t="str"/>
      <x:c r="I18" s="19" t="n">
        <x:v>1</x:v>
      </x:c>
    </x:row>
    <x:row r="19" ht="60" customHeight="1">
      <x:c r="A19" s="2" t="str">
        <x:v>LEARN-014</x:v>
      </x:c>
      <x:c r="B19" s="2" t="n">
        <x:v>14</x:v>
      </x:c>
      <x:c r="C19" s="2" t="str">
        <x:v>Adriana Soler</x:v>
      </x:c>
      <x:c r="D19" s="19" t="str">
        <x:v>Sin ejecución registrada.</x:v>
      </x:c>
      <x:c r="E19" s="19" t="str">
        <x:v>webapp-testing (propuesta)</x:v>
      </x:c>
      <x:c r="F19" s="19" t="str">
        <x:v>Reproducir fallo → causa raíz → corrección → retest independiente → registrar regresión.</x:v>
      </x:c>
      <x:c r="G19" s="19" t="str">
        <x:v>DISEÑADO_NO_EJECUTADO</x:v>
      </x:c>
      <x:c r="H19" s="19" t="str"/>
      <x:c r="I19" s="19" t="n">
        <x:v>1</x:v>
      </x:c>
    </x:row>
    <x:row r="20" ht="60" customHeight="1">
      <x:c r="A20" s="16" t="str">
        <x:v>LEARN-015</x:v>
      </x:c>
      <x:c r="B20" s="16" t="n">
        <x:v>15</x:v>
      </x:c>
      <x:c r="C20" s="16" t="str">
        <x:v>Tomás Aranda</x:v>
      </x:c>
      <x:c r="D20" s="19" t="str">
        <x:v>Sin ejecución registrada.</x:v>
      </x:c>
      <x:c r="E20" s="19" t="str">
        <x:v>systematic-debugging (propuesta)</x:v>
      </x:c>
      <x:c r="F20" s="19" t="str">
        <x:v>Reproducir fallo → causa raíz → corrección → retest independiente → registrar regresión.</x:v>
      </x:c>
      <x:c r="G20" s="19" t="str">
        <x:v>DISEÑADO_NO_EJECUTADO</x:v>
      </x:c>
      <x:c r="H20" s="19" t="str"/>
      <x:c r="I20" s="19" t="n">
        <x:v>1</x:v>
      </x:c>
    </x:row>
    <x:row r="21" ht="60" customHeight="1">
      <x:c r="A21" s="2" t="str">
        <x:v>LEARN-016</x:v>
      </x:c>
      <x:c r="B21" s="2" t="n">
        <x:v>16</x:v>
      </x:c>
      <x:c r="C21" s="2" t="str">
        <x:v>Diego Cárdenas</x:v>
      </x:c>
      <x:c r="D21" s="19" t="str">
        <x:v>Sin ejecución registrada.</x:v>
      </x:c>
      <x:c r="E21" s="19" t="str">
        <x:v>webapp-testing (propuesta)</x:v>
      </x:c>
      <x:c r="F21" s="19" t="str">
        <x:v>Reproducir fallo → causa raíz → corrección → retest independiente → registrar regresión.</x:v>
      </x:c>
      <x:c r="G21" s="19" t="str">
        <x:v>DISEÑADO_NO_EJECUTADO</x:v>
      </x:c>
      <x:c r="H21" s="19" t="str"/>
      <x:c r="I21" s="19" t="n">
        <x:v>1</x:v>
      </x:c>
    </x:row>
    <x:row r="22" ht="60" customHeight="1">
      <x:c r="A22" s="16" t="str">
        <x:v>LEARN-017</x:v>
      </x:c>
      <x:c r="B22" s="16" t="n">
        <x:v>17</x:v>
      </x:c>
      <x:c r="C22" s="16" t="str">
        <x:v>Clara Beltrán</x:v>
      </x:c>
      <x:c r="D22" s="19" t="str">
        <x:v>Sin ejecución registrada.</x:v>
      </x:c>
      <x:c r="E22" s="19" t="str">
        <x:v>systematic-debugging (propuesta)</x:v>
      </x:c>
      <x:c r="F22" s="19" t="str">
        <x:v>Reproducir fallo → causa raíz → corrección → retest independiente → registrar regresión.</x:v>
      </x:c>
      <x:c r="G22" s="19" t="str">
        <x:v>DISEÑADO_NO_EJECUTADO</x:v>
      </x:c>
      <x:c r="H22" s="19" t="str"/>
      <x:c r="I22" s="19" t="n">
        <x:v>1</x:v>
      </x:c>
    </x:row>
    <x:row r="23" ht="60" customHeight="1">
      <x:c r="A23" s="2" t="str">
        <x:v>LEARN-018</x:v>
      </x:c>
      <x:c r="B23" s="2" t="n">
        <x:v>18</x:v>
      </x:c>
      <x:c r="C23" s="2" t="str">
        <x:v>Marina Duarte</x:v>
      </x:c>
      <x:c r="D23" s="19" t="str">
        <x:v>Sin ejecución registrada.</x:v>
      </x:c>
      <x:c r="E23" s="19" t="str">
        <x:v>webapp-testing (propuesta)</x:v>
      </x:c>
      <x:c r="F23" s="19" t="str">
        <x:v>Reproducir fallo → causa raíz → corrección → retest independiente → registrar regresión.</x:v>
      </x:c>
      <x:c r="G23" s="19" t="str">
        <x:v>DISEÑADO_NO_EJECUTADO</x:v>
      </x:c>
      <x:c r="H23" s="19" t="str"/>
      <x:c r="I23" s="19" t="n">
        <x:v>1</x:v>
      </x:c>
    </x:row>
    <x:row r="24" ht="60" customHeight="1">
      <x:c r="A24" s="16" t="str">
        <x:v>LEARN-019</x:v>
      </x:c>
      <x:c r="B24" s="16" t="n">
        <x:v>19</x:v>
      </x:c>
      <x:c r="C24" s="16" t="str">
        <x:v>Pablo Alarcón</x:v>
      </x:c>
      <x:c r="D24" s="19" t="str">
        <x:v>Sin ejecución registrada.</x:v>
      </x:c>
      <x:c r="E24" s="19" t="str">
        <x:v>systematic-debugging (propuesta)</x:v>
      </x:c>
      <x:c r="F24" s="19" t="str">
        <x:v>Reproducir fallo → causa raíz → corrección → retest independiente → registrar regresión.</x:v>
      </x:c>
      <x:c r="G24" s="19" t="str">
        <x:v>DISEÑADO_NO_EJECUTADO</x:v>
      </x:c>
      <x:c r="H24" s="19" t="str"/>
      <x:c r="I24" s="19" t="n">
        <x:v>1</x:v>
      </x:c>
    </x:row>
    <x:row r="25" ht="60" customHeight="1">
      <x:c r="A25" s="2" t="str">
        <x:v>LEARN-020</x:v>
      </x:c>
      <x:c r="B25" s="2" t="n">
        <x:v>20</x:v>
      </x:c>
      <x:c r="C25" s="2" t="str">
        <x:v>Bruno Calderón</x:v>
      </x:c>
      <x:c r="D25" s="19" t="str">
        <x:v>Sin ejecución registrada.</x:v>
      </x:c>
      <x:c r="E25" s="19" t="str">
        <x:v>webapp-testing (propuesta)</x:v>
      </x:c>
      <x:c r="F25" s="19" t="str">
        <x:v>Reproducir fallo → causa raíz → corrección → retest independiente → registrar regresión.</x:v>
      </x:c>
      <x:c r="G25" s="19" t="str">
        <x:v>DISEÑADO_NO_EJECUTADO</x:v>
      </x:c>
      <x:c r="H25" s="19" t="str"/>
      <x:c r="I25" s="19" t="n">
        <x:v>1</x:v>
      </x:c>
    </x:row>
    <x:row r="26" ht="60" customHeight="1">
      <x:c r="A26" s="16" t="str">
        <x:v>LEARN-021</x:v>
      </x:c>
      <x:c r="B26" s="16" t="n">
        <x:v>21</x:v>
      </x:c>
      <x:c r="C26" s="16" t="str">
        <x:v>Natalia Sanz</x:v>
      </x:c>
      <x:c r="D26" s="19" t="str">
        <x:v>Sin ejecución registrada.</x:v>
      </x:c>
      <x:c r="E26" s="19" t="str">
        <x:v>systematic-debugging (propuesta)</x:v>
      </x:c>
      <x:c r="F26" s="19" t="str">
        <x:v>Reproducir fallo → causa raíz → corrección → retest independiente → registrar regresión.</x:v>
      </x:c>
      <x:c r="G26" s="19" t="str">
        <x:v>DISEÑADO_NO_EJECUTADO</x:v>
      </x:c>
      <x:c r="H26" s="19" t="str"/>
      <x:c r="I26" s="19" t="n">
        <x:v>1</x:v>
      </x:c>
    </x:row>
    <x:row r="27" ht="60" customHeight="1">
      <x:c r="A27" s="2" t="str">
        <x:v>LEARN-022</x:v>
      </x:c>
      <x:c r="B27" s="2" t="n">
        <x:v>22</x:v>
      </x:c>
      <x:c r="C27" s="2" t="str">
        <x:v>Daniela Fuentes</x:v>
      </x:c>
      <x:c r="D27" s="19" t="str">
        <x:v>Sin ejecución registrada.</x:v>
      </x:c>
      <x:c r="E27" s="19" t="str">
        <x:v>webapp-testing (propuesta)</x:v>
      </x:c>
      <x:c r="F27" s="19" t="str">
        <x:v>Reproducir fallo → causa raíz → corrección → retest independiente → registrar regresión.</x:v>
      </x:c>
      <x:c r="G27" s="19" t="str">
        <x:v>DISEÑADO_NO_EJECUTADO</x:v>
      </x:c>
      <x:c r="H27" s="19" t="str"/>
      <x:c r="I27" s="19" t="n">
        <x:v>1</x:v>
      </x:c>
    </x:row>
    <x:row r="28" ht="60" customHeight="1">
      <x:c r="A28" s="16" t="str">
        <x:v>LEARN-023</x:v>
      </x:c>
      <x:c r="B28" s="16" t="n">
        <x:v>23</x:v>
      </x:c>
      <x:c r="C28" s="16" t="str">
        <x:v>Julián Escobar</x:v>
      </x:c>
      <x:c r="D28" s="19" t="str">
        <x:v>Sin ejecución registrada.</x:v>
      </x:c>
      <x:c r="E28" s="19" t="str">
        <x:v>systematic-debugging (propuesta)</x:v>
      </x:c>
      <x:c r="F28" s="19" t="str">
        <x:v>Reproducir fallo → causa raíz → corrección → retest independiente → registrar regresión.</x:v>
      </x:c>
      <x:c r="G28" s="19" t="str">
        <x:v>DISEÑADO_NO_EJECUTADO</x:v>
      </x:c>
      <x:c r="H28" s="19" t="str"/>
      <x:c r="I28" s="19" t="n">
        <x:v>1</x:v>
      </x:c>
    </x:row>
    <x:row r="29" ht="60" customHeight="1">
      <x:c r="A29" s="2" t="str">
        <x:v>LEARN-024</x:v>
      </x:c>
      <x:c r="B29" s="2" t="n">
        <x:v>24</x:v>
      </x:c>
      <x:c r="C29" s="2" t="str">
        <x:v>Camila Navarro</x:v>
      </x:c>
      <x:c r="D29" s="19" t="str">
        <x:v>Sin ejecución registrada.</x:v>
      </x:c>
      <x:c r="E29" s="19" t="str">
        <x:v>webapp-testing (propuesta)</x:v>
      </x:c>
      <x:c r="F29" s="19" t="str">
        <x:v>Reproducir fallo → causa raíz → corrección → retest independiente → registrar regresión.</x:v>
      </x:c>
      <x:c r="G29" s="19" t="str">
        <x:v>DISEÑADO_NO_EJECUTADO</x:v>
      </x:c>
      <x:c r="H29" s="19" t="str"/>
      <x:c r="I29" s="19" t="n">
        <x:v>1</x:v>
      </x:c>
    </x:row>
    <x:row r="30" ht="60" customHeight="1">
      <x:c r="A30" s="16" t="str">
        <x:v>LEARN-025</x:v>
      </x:c>
      <x:c r="B30" s="16" t="n">
        <x:v>25</x:v>
      </x:c>
      <x:c r="C30" s="16" t="str">
        <x:v>Celia Paredes</x:v>
      </x:c>
      <x:c r="D30" s="19" t="str">
        <x:v>Sin ejecución registrada.</x:v>
      </x:c>
      <x:c r="E30" s="19" t="str">
        <x:v>systematic-debugging (propuesta)</x:v>
      </x:c>
      <x:c r="F30" s="19" t="str">
        <x:v>Reproducir fallo → causa raíz → corrección → retest independiente → registrar regresión.</x:v>
      </x:c>
      <x:c r="G30" s="19" t="str">
        <x:v>DISEÑADO_NO_EJECUTADO</x:v>
      </x:c>
      <x:c r="H30" s="19" t="str"/>
      <x:c r="I30" s="19" t="n">
        <x:v>1</x:v>
      </x:c>
    </x:row>
    <x:row r="31" ht="60" customHeight="1">
      <x:c r="A31" s="2" t="str">
        <x:v>LEARN-026</x:v>
      </x:c>
      <x:c r="B31" s="2" t="n">
        <x:v>26</x:v>
      </x:c>
      <x:c r="C31" s="2" t="str">
        <x:v>Adrián Lago</x:v>
      </x:c>
      <x:c r="D31" s="19" t="str">
        <x:v>Sin ejecución registrada.</x:v>
      </x:c>
      <x:c r="E31" s="19" t="str">
        <x:v>webapp-testing (propuesta)</x:v>
      </x:c>
      <x:c r="F31" s="19" t="str">
        <x:v>Reproducir fallo → causa raíz → corrección → retest independiente → registrar regresión.</x:v>
      </x:c>
      <x:c r="G31" s="19" t="str">
        <x:v>DISEÑADO_NO_EJECUTADO</x:v>
      </x:c>
      <x:c r="H31" s="19" t="str"/>
      <x:c r="I31" s="19" t="n">
        <x:v>1</x:v>
      </x:c>
    </x:row>
    <x:row r="32" ht="60" customHeight="1">
      <x:c r="A32" s="16" t="str">
        <x:v>LEARN-027</x:v>
      </x:c>
      <x:c r="B32" s="16" t="n">
        <x:v>27</x:v>
      </x:c>
      <x:c r="C32" s="16" t="str">
        <x:v>Lara Cortés</x:v>
      </x:c>
      <x:c r="D32" s="19" t="str">
        <x:v>Sin ejecución registrada.</x:v>
      </x:c>
      <x:c r="E32" s="19" t="str">
        <x:v>systematic-debugging (propuesta)</x:v>
      </x:c>
      <x:c r="F32" s="19" t="str">
        <x:v>Reproducir fallo → causa raíz → corrección → retest independiente → registrar regresión.</x:v>
      </x:c>
      <x:c r="G32" s="19" t="str">
        <x:v>DISEÑADO_NO_EJECUTADO</x:v>
      </x:c>
      <x:c r="H32" s="19" t="str"/>
      <x:c r="I32" s="19" t="n">
        <x:v>1</x:v>
      </x:c>
    </x:row>
    <x:row r="33" ht="60" customHeight="1">
      <x:c r="A33" s="2" t="str">
        <x:v>LEARN-028</x:v>
      </x:c>
      <x:c r="B33" s="2" t="n">
        <x:v>28</x:v>
      </x:c>
      <x:c r="C33" s="2" t="str">
        <x:v>Nora Medina</x:v>
      </x:c>
      <x:c r="D33" s="19" t="str">
        <x:v>Sin ejecución registrada.</x:v>
      </x:c>
      <x:c r="E33" s="19" t="str">
        <x:v>webapp-testing (propuesta)</x:v>
      </x:c>
      <x:c r="F33" s="19" t="str">
        <x:v>Reproducir fallo → causa raíz → corrección → retest independiente → registrar regresión.</x:v>
      </x:c>
      <x:c r="G33" s="19" t="str">
        <x:v>DISEÑADO_NO_EJECUTADO</x:v>
      </x:c>
      <x:c r="H33" s="19" t="str"/>
      <x:c r="I33" s="19" t="n">
        <x:v>1</x:v>
      </x:c>
    </x:row>
    <x:row r="34" ht="60" customHeight="1">
      <x:c r="A34" s="16" t="str">
        <x:v>LEARN-029</x:v>
      </x:c>
      <x:c r="B34" s="16" t="n">
        <x:v>29</x:v>
      </x:c>
      <x:c r="C34" s="16" t="str">
        <x:v>Emilio Ponce</x:v>
      </x:c>
      <x:c r="D34" s="19" t="str">
        <x:v>Sin ejecución registrada.</x:v>
      </x:c>
      <x:c r="E34" s="19" t="str">
        <x:v>systematic-debugging (propuesta)</x:v>
      </x:c>
      <x:c r="F34" s="19" t="str">
        <x:v>Reproducir fallo → causa raíz → corrección → retest independiente → registrar regresión.</x:v>
      </x:c>
      <x:c r="G34" s="19" t="str">
        <x:v>DISEÑADO_NO_EJECUTADO</x:v>
      </x:c>
      <x:c r="H34" s="19" t="str"/>
      <x:c r="I34" s="19" t="n">
        <x:v>1</x:v>
      </x:c>
    </x:row>
    <x:row r="35" ht="60" customHeight="1">
      <x:c r="A35" s="2" t="str">
        <x:v>LEARN-030</x:v>
      </x:c>
      <x:c r="B35" s="2" t="n">
        <x:v>30</x:v>
      </x:c>
      <x:c r="C35" s="2" t="str">
        <x:v>Álvaro Del Valle</x:v>
      </x:c>
      <x:c r="D35" s="19" t="str">
        <x:v>Sin ejecución registrada.</x:v>
      </x:c>
      <x:c r="E35" s="19" t="str">
        <x:v>webapp-testing (propuesta)</x:v>
      </x:c>
      <x:c r="F35" s="19" t="str">
        <x:v>Reproducir fallo → causa raíz → corrección → retest independiente → registrar regresión.</x:v>
      </x:c>
      <x:c r="G35" s="19" t="str">
        <x:v>DISEÑADO_NO_EJECUTADO</x:v>
      </x:c>
      <x:c r="H35" s="19" t="str"/>
      <x:c r="I35" s="19" t="n">
        <x:v>1</x:v>
      </x:c>
    </x:row>
    <x:row r="36" ht="60" customHeight="1">
      <x:c r="A36" s="16" t="str">
        <x:v>LEARN-031</x:v>
      </x:c>
      <x:c r="B36" s="16" t="n">
        <x:v>31</x:v>
      </x:c>
      <x:c r="C36" s="16" t="str">
        <x:v>León Arenas</x:v>
      </x:c>
      <x:c r="D36" s="19" t="str">
        <x:v>Sin ejecución registrada.</x:v>
      </x:c>
      <x:c r="E36" s="19" t="str">
        <x:v>systematic-debugging (propuesta)</x:v>
      </x:c>
      <x:c r="F36" s="19" t="str">
        <x:v>Reproducir fallo → causa raíz → corrección → retest independiente → registrar regresión.</x:v>
      </x:c>
      <x:c r="G36" s="19" t="str">
        <x:v>DISEÑADO_NO_EJECUTADO</x:v>
      </x:c>
      <x:c r="H36" s="19" t="str"/>
      <x:c r="I36" s="19" t="n">
        <x:v>1</x:v>
      </x:c>
    </x:row>
    <x:row r="37" ht="60" customHeight="1">
      <x:c r="A37" s="2" t="str">
        <x:v>LEARN-032</x:v>
      </x:c>
      <x:c r="B37" s="2" t="n">
        <x:v>32</x:v>
      </x:c>
      <x:c r="C37" s="2" t="str">
        <x:v>Marta Cifuentes</x:v>
      </x:c>
      <x:c r="D37" s="19" t="str">
        <x:v>Sin ejecución registrada.</x:v>
      </x:c>
      <x:c r="E37" s="19" t="str">
        <x:v>webapp-testing (propuesta)</x:v>
      </x:c>
      <x:c r="F37" s="19" t="str">
        <x:v>Reproducir fallo → causa raíz → corrección → retest independiente → registrar regresión.</x:v>
      </x:c>
      <x:c r="G37" s="19" t="str">
        <x:v>DISEÑADO_NO_EJECUTADO</x:v>
      </x:c>
      <x:c r="H37" s="19" t="str"/>
      <x:c r="I37" s="19" t="n">
        <x:v>1</x:v>
      </x:c>
    </x:row>
    <x:row r="38" ht="60" customHeight="1">
      <x:c r="A38" s="16"/>
      <x:c r="B38" s="16"/>
      <x:c r="C38" s="16"/>
      <x:c r="D38" s="19"/>
      <x:c r="E38" s="19"/>
      <x:c r="F38" s="19"/>
      <x:c r="G38" s="19"/>
      <x:c r="H38" s="19"/>
      <x:c r="I38" s="19"/>
    </x:row>
    <x:row r="39" ht="60" customHeight="1">
      <x:c r="A39" s="2"/>
      <x:c r="B39" s="2"/>
      <x:c r="C39" s="2"/>
      <x:c r="D39" s="19"/>
      <x:c r="E39" s="19"/>
      <x:c r="F39" s="19"/>
      <x:c r="G39" s="19"/>
      <x:c r="H39" s="19"/>
      <x:c r="I39" s="19"/>
    </x:row>
    <x:row r="40" ht="60" customHeight="1">
      <x:c r="A40" s="16"/>
      <x:c r="B40" s="16"/>
      <x:c r="C40" s="16"/>
      <x:c r="D40" s="19"/>
      <x:c r="E40" s="19"/>
      <x:c r="F40" s="19"/>
      <x:c r="G40" s="19"/>
      <x:c r="H40" s="19"/>
      <x:c r="I40" s="19"/>
    </x:row>
    <x:row r="41" ht="60" customHeight="1">
      <x:c r="A41" s="2"/>
      <x:c r="B41" s="2"/>
      <x:c r="C41" s="2"/>
      <x:c r="D41" s="19"/>
      <x:c r="E41" s="19"/>
      <x:c r="F41" s="19"/>
      <x:c r="G41" s="19"/>
      <x:c r="H41" s="19"/>
      <x:c r="I41" s="19"/>
    </x:row>
    <x:row r="42" ht="60" customHeight="1">
      <x:c r="A42" s="16"/>
      <x:c r="B42" s="16"/>
      <x:c r="C42" s="16"/>
      <x:c r="D42" s="19"/>
      <x:c r="E42" s="19"/>
      <x:c r="F42" s="19"/>
      <x:c r="G42" s="19"/>
      <x:c r="H42" s="19"/>
      <x:c r="I42" s="19"/>
    </x:row>
    <x:row r="43" ht="60" customHeight="1">
      <x:c r="A43" s="2"/>
      <x:c r="B43" s="2"/>
      <x:c r="C43" s="2"/>
      <x:c r="D43" s="19"/>
      <x:c r="E43" s="19"/>
      <x:c r="F43" s="19"/>
      <x:c r="G43" s="19"/>
      <x:c r="H43" s="19"/>
      <x:c r="I43" s="19"/>
    </x:row>
    <x:row r="44" ht="60" customHeight="1">
      <x:c r="A44" s="16"/>
      <x:c r="B44" s="16"/>
      <x:c r="C44" s="16"/>
      <x:c r="D44" s="19"/>
      <x:c r="E44" s="19"/>
      <x:c r="F44" s="19"/>
      <x:c r="G44" s="19"/>
      <x:c r="H44" s="19"/>
      <x:c r="I44" s="19"/>
    </x:row>
    <x:row r="45" ht="60" customHeight="1">
      <x:c r="A45" s="2"/>
      <x:c r="B45" s="2"/>
      <x:c r="C45" s="2"/>
      <x:c r="D45" s="19"/>
      <x:c r="E45" s="19"/>
      <x:c r="F45" s="19"/>
      <x:c r="G45" s="19"/>
      <x:c r="H45" s="19"/>
      <x:c r="I45" s="19"/>
    </x:row>
    <x:row r="46" ht="60" customHeight="1">
      <x:c r="A46" s="16"/>
      <x:c r="B46" s="16"/>
      <x:c r="C46" s="16"/>
      <x:c r="D46" s="19"/>
      <x:c r="E46" s="19"/>
      <x:c r="F46" s="19"/>
      <x:c r="G46" s="19"/>
      <x:c r="H46" s="19"/>
      <x:c r="I46" s="19"/>
    </x:row>
    <x:row r="47" ht="60" customHeight="1">
      <x:c r="A47" s="2"/>
      <x:c r="B47" s="2"/>
      <x:c r="C47" s="2"/>
      <x:c r="D47" s="19"/>
      <x:c r="E47" s="19"/>
      <x:c r="F47" s="19"/>
      <x:c r="G47" s="19"/>
      <x:c r="H47" s="19"/>
      <x:c r="I47" s="19"/>
    </x:row>
    <x:row r="48" ht="60" customHeight="1">
      <x:c r="A48" s="16"/>
      <x:c r="B48" s="16"/>
      <x:c r="C48" s="16"/>
      <x:c r="D48" s="19"/>
      <x:c r="E48" s="19"/>
      <x:c r="F48" s="19"/>
      <x:c r="G48" s="19"/>
      <x:c r="H48" s="19"/>
      <x:c r="I48" s="19"/>
    </x:row>
    <x:row r="49" ht="60" customHeight="1">
      <x:c r="A49" s="2"/>
      <x:c r="B49" s="2"/>
      <x:c r="C49" s="2"/>
      <x:c r="D49" s="19"/>
      <x:c r="E49" s="19"/>
      <x:c r="F49" s="19"/>
      <x:c r="G49" s="19"/>
      <x:c r="H49" s="19"/>
      <x:c r="I49" s="19"/>
    </x:row>
    <x:row r="50" ht="60" customHeight="1">
      <x:c r="A50" s="16"/>
      <x:c r="B50" s="16"/>
      <x:c r="C50" s="16"/>
      <x:c r="D50" s="19"/>
      <x:c r="E50" s="19"/>
      <x:c r="F50" s="19"/>
      <x:c r="G50" s="19"/>
      <x:c r="H50" s="19"/>
      <x:c r="I50" s="19"/>
    </x:row>
    <x:row r="51" ht="60" customHeight="1">
      <x:c r="A51" s="2"/>
      <x:c r="B51" s="2"/>
      <x:c r="C51" s="2"/>
      <x:c r="D51" s="19"/>
      <x:c r="E51" s="19"/>
      <x:c r="F51" s="19"/>
      <x:c r="G51" s="19"/>
      <x:c r="H51" s="19"/>
      <x:c r="I51" s="19"/>
    </x:row>
    <x:row r="52" ht="60" customHeight="1">
      <x:c r="A52" s="16"/>
      <x:c r="B52" s="16"/>
      <x:c r="C52" s="16"/>
      <x:c r="D52" s="19"/>
      <x:c r="E52" s="19"/>
      <x:c r="F52" s="19"/>
      <x:c r="G52" s="19"/>
      <x:c r="H52" s="19"/>
      <x:c r="I52" s="19"/>
    </x:row>
    <x:row r="53" ht="60" customHeight="1">
      <x:c r="A53" s="2"/>
      <x:c r="B53" s="2"/>
      <x:c r="C53" s="2"/>
      <x:c r="D53" s="19"/>
      <x:c r="E53" s="19"/>
      <x:c r="F53" s="19"/>
      <x:c r="G53" s="19"/>
      <x:c r="H53" s="19"/>
      <x:c r="I53" s="19"/>
    </x:row>
    <x:row r="54" ht="60" customHeight="1">
      <x:c r="A54" s="16"/>
      <x:c r="B54" s="16"/>
      <x:c r="C54" s="16"/>
      <x:c r="D54" s="19"/>
      <x:c r="E54" s="19"/>
      <x:c r="F54" s="19"/>
      <x:c r="G54" s="19"/>
      <x:c r="H54" s="19"/>
      <x:c r="I54" s="19"/>
    </x:row>
    <x:row r="55" ht="60" customHeight="1">
      <x:c r="A55" s="2"/>
      <x:c r="B55" s="2"/>
      <x:c r="C55" s="2"/>
      <x:c r="D55" s="19"/>
      <x:c r="E55" s="19"/>
      <x:c r="F55" s="19"/>
      <x:c r="G55" s="19"/>
      <x:c r="H55" s="19"/>
      <x:c r="I55" s="19"/>
    </x:row>
    <x:row r="56" ht="60" customHeight="1">
      <x:c r="A56" s="16"/>
      <x:c r="B56" s="16"/>
      <x:c r="C56" s="16"/>
      <x:c r="D56" s="19"/>
      <x:c r="E56" s="19"/>
      <x:c r="F56" s="19"/>
      <x:c r="G56" s="19"/>
      <x:c r="H56" s="19"/>
      <x:c r="I56" s="19"/>
    </x:row>
    <x:row r="57" ht="60" customHeight="1">
      <x:c r="A57" s="2"/>
      <x:c r="B57" s="2"/>
      <x:c r="C57" s="2"/>
      <x:c r="D57" s="19"/>
      <x:c r="E57" s="19"/>
      <x:c r="F57" s="19"/>
      <x:c r="G57" s="19"/>
      <x:c r="H57" s="19"/>
      <x:c r="I57" s="19"/>
    </x:row>
    <x:row r="58" ht="60" customHeight="1">
      <x:c r="A58" s="16"/>
      <x:c r="B58" s="16"/>
      <x:c r="C58" s="16"/>
      <x:c r="D58" s="19"/>
      <x:c r="E58" s="19"/>
      <x:c r="F58" s="19"/>
      <x:c r="G58" s="19"/>
      <x:c r="H58" s="19"/>
      <x:c r="I58" s="19"/>
    </x:row>
    <x:row r="59" ht="60" customHeight="1">
      <x:c r="A59" s="2"/>
      <x:c r="B59" s="2"/>
      <x:c r="C59" s="2"/>
      <x:c r="D59" s="19"/>
      <x:c r="E59" s="19"/>
      <x:c r="F59" s="19"/>
      <x:c r="G59" s="19"/>
      <x:c r="H59" s="19"/>
      <x:c r="I59" s="19"/>
    </x:row>
    <x:row r="60" ht="60" customHeight="1">
      <x:c r="A60" s="16"/>
      <x:c r="B60" s="16"/>
      <x:c r="C60" s="16"/>
      <x:c r="D60" s="19"/>
      <x:c r="E60" s="19"/>
      <x:c r="F60" s="19"/>
      <x:c r="G60" s="19"/>
      <x:c r="H60" s="19"/>
      <x:c r="I60" s="19"/>
    </x:row>
    <x:row r="61" ht="60" customHeight="1">
      <x:c r="A61" s="2"/>
      <x:c r="B61" s="2"/>
      <x:c r="C61" s="2"/>
      <x:c r="D61" s="19"/>
      <x:c r="E61" s="19"/>
      <x:c r="F61" s="19"/>
      <x:c r="G61" s="19"/>
      <x:c r="H61" s="19"/>
      <x:c r="I61" s="19"/>
    </x:row>
    <x:row r="62" ht="60" customHeight="1">
      <x:c r="A62" s="16"/>
      <x:c r="B62" s="16"/>
      <x:c r="C62" s="16"/>
      <x:c r="D62" s="19"/>
      <x:c r="E62" s="19"/>
      <x:c r="F62" s="19"/>
      <x:c r="G62" s="19"/>
      <x:c r="H62" s="19"/>
      <x:c r="I62" s="19"/>
    </x:row>
    <x:row r="63" ht="60" customHeight="1">
      <x:c r="A63" s="2"/>
      <x:c r="B63" s="2"/>
      <x:c r="C63" s="2"/>
      <x:c r="D63" s="19"/>
      <x:c r="E63" s="19"/>
      <x:c r="F63" s="19"/>
      <x:c r="G63" s="19"/>
      <x:c r="H63" s="19"/>
      <x:c r="I63" s="19"/>
    </x:row>
    <x:row r="64" ht="60" customHeight="1">
      <x:c r="A64" s="16"/>
      <x:c r="B64" s="16"/>
      <x:c r="C64" s="16"/>
      <x:c r="D64" s="19"/>
      <x:c r="E64" s="19"/>
      <x:c r="F64" s="19"/>
      <x:c r="G64" s="19"/>
      <x:c r="H64" s="19"/>
      <x:c r="I64" s="19"/>
    </x:row>
    <x:row r="65" ht="60" customHeight="1">
      <x:c r="A65" s="2"/>
      <x:c r="B65" s="2"/>
      <x:c r="C65" s="2"/>
      <x:c r="D65" s="19"/>
      <x:c r="E65" s="19"/>
      <x:c r="F65" s="19"/>
      <x:c r="G65" s="19"/>
      <x:c r="H65" s="19"/>
      <x:c r="I65" s="19"/>
    </x:row>
    <x:row r="66" ht="60" customHeight="1">
      <x:c r="A66" s="16"/>
      <x:c r="B66" s="16"/>
      <x:c r="C66" s="16"/>
      <x:c r="D66" s="19"/>
      <x:c r="E66" s="19"/>
      <x:c r="F66" s="19"/>
      <x:c r="G66" s="19"/>
      <x:c r="H66" s="19"/>
      <x:c r="I66" s="19"/>
    </x:row>
    <x:row r="67" ht="60" customHeight="1">
      <x:c r="A67" s="2"/>
      <x:c r="B67" s="2"/>
      <x:c r="C67" s="2"/>
      <x:c r="D67" s="19"/>
      <x:c r="E67" s="19"/>
      <x:c r="F67" s="19"/>
      <x:c r="G67" s="19"/>
      <x:c r="H67" s="19"/>
      <x:c r="I67" s="19"/>
    </x:row>
    <x:row r="68" ht="60" customHeight="1">
      <x:c r="A68" s="16"/>
      <x:c r="B68" s="16"/>
      <x:c r="C68" s="16"/>
      <x:c r="D68" s="19"/>
      <x:c r="E68" s="19"/>
      <x:c r="F68" s="19"/>
      <x:c r="G68" s="19"/>
      <x:c r="H68" s="19"/>
      <x:c r="I68" s="19"/>
    </x:row>
    <x:row r="69" ht="60" customHeight="1">
      <x:c r="A69" s="2"/>
      <x:c r="B69" s="2"/>
      <x:c r="C69" s="2"/>
      <x:c r="D69" s="19"/>
      <x:c r="E69" s="19"/>
      <x:c r="F69" s="19"/>
      <x:c r="G69" s="19"/>
      <x:c r="H69" s="19"/>
      <x:c r="I69" s="19"/>
    </x:row>
    <x:row r="70" ht="60" customHeight="1">
      <x:c r="A70" s="16"/>
      <x:c r="B70" s="16"/>
      <x:c r="C70" s="16"/>
      <x:c r="D70" s="19"/>
      <x:c r="E70" s="19"/>
      <x:c r="F70" s="19"/>
      <x:c r="G70" s="19"/>
      <x:c r="H70" s="19"/>
      <x:c r="I70" s="19"/>
    </x:row>
    <x:row r="71" ht="60" customHeight="1">
      <x:c r="A71" s="2"/>
      <x:c r="B71" s="2"/>
      <x:c r="C71" s="2"/>
      <x:c r="D71" s="19"/>
      <x:c r="E71" s="19"/>
      <x:c r="F71" s="19"/>
      <x:c r="G71" s="19"/>
      <x:c r="H71" s="19"/>
      <x:c r="I71" s="19"/>
    </x:row>
    <x:row r="72" ht="60" customHeight="1">
      <x:c r="A72" s="16"/>
      <x:c r="B72" s="16"/>
      <x:c r="C72" s="16"/>
      <x:c r="D72" s="19"/>
      <x:c r="E72" s="19"/>
      <x:c r="F72" s="19"/>
      <x:c r="G72" s="19"/>
      <x:c r="H72" s="19"/>
      <x:c r="I72" s="19"/>
    </x:row>
    <x:row r="73" ht="60" customHeight="1">
      <x:c r="A73" s="2"/>
      <x:c r="B73" s="2"/>
      <x:c r="C73" s="2"/>
      <x:c r="D73" s="19"/>
      <x:c r="E73" s="19"/>
      <x:c r="F73" s="19"/>
      <x:c r="G73" s="19"/>
      <x:c r="H73" s="19"/>
      <x:c r="I73" s="19"/>
    </x:row>
    <x:row r="74" ht="60" customHeight="1">
      <x:c r="A74" s="16"/>
      <x:c r="B74" s="16"/>
      <x:c r="C74" s="16"/>
      <x:c r="D74" s="19"/>
      <x:c r="E74" s="19"/>
      <x:c r="F74" s="19"/>
      <x:c r="G74" s="19"/>
      <x:c r="H74" s="19"/>
      <x:c r="I74" s="19"/>
    </x:row>
    <x:row r="75" ht="60" customHeight="1">
      <x:c r="A75" s="2"/>
      <x:c r="B75" s="2"/>
      <x:c r="C75" s="2"/>
      <x:c r="D75" s="19"/>
      <x:c r="E75" s="19"/>
      <x:c r="F75" s="19"/>
      <x:c r="G75" s="19"/>
      <x:c r="H75" s="19"/>
      <x:c r="I75" s="19"/>
    </x:row>
    <x:row r="76" ht="60" customHeight="1">
      <x:c r="A76" s="16"/>
      <x:c r="B76" s="16"/>
      <x:c r="C76" s="16"/>
      <x:c r="D76" s="19"/>
      <x:c r="E76" s="19"/>
      <x:c r="F76" s="19"/>
      <x:c r="G76" s="19"/>
      <x:c r="H76" s="19"/>
      <x:c r="I76" s="19"/>
    </x:row>
    <x:row r="77" ht="60" customHeight="1">
      <x:c r="A77" s="2"/>
      <x:c r="B77" s="2"/>
      <x:c r="C77" s="2"/>
      <x:c r="D77" s="19"/>
      <x:c r="E77" s="19"/>
      <x:c r="F77" s="19"/>
      <x:c r="G77" s="19"/>
      <x:c r="H77" s="19"/>
      <x:c r="I77" s="19"/>
    </x:row>
    <x:row r="78" ht="60" customHeight="1">
      <x:c r="A78" s="16"/>
      <x:c r="B78" s="16"/>
      <x:c r="C78" s="16"/>
      <x:c r="D78" s="19"/>
      <x:c r="E78" s="19"/>
      <x:c r="F78" s="19"/>
      <x:c r="G78" s="19"/>
      <x:c r="H78" s="19"/>
      <x:c r="I78" s="19"/>
    </x:row>
    <x:row r="79" ht="60" customHeight="1">
      <x:c r="A79" s="2"/>
      <x:c r="B79" s="2"/>
      <x:c r="C79" s="2"/>
      <x:c r="D79" s="19"/>
      <x:c r="E79" s="19"/>
      <x:c r="F79" s="19"/>
      <x:c r="G79" s="19"/>
      <x:c r="H79" s="19"/>
      <x:c r="I79" s="19"/>
    </x:row>
    <x:row r="80" ht="60" customHeight="1">
      <x:c r="A80" s="16"/>
      <x:c r="B80" s="16"/>
      <x:c r="C80" s="16"/>
      <x:c r="D80" s="19"/>
      <x:c r="E80" s="19"/>
      <x:c r="F80" s="19"/>
      <x:c r="G80" s="19"/>
      <x:c r="H80" s="19"/>
      <x:c r="I80" s="19"/>
    </x:row>
    <x:row r="81" ht="60" customHeight="1">
      <x:c r="A81" s="2"/>
      <x:c r="B81" s="2"/>
      <x:c r="C81" s="2"/>
      <x:c r="D81" s="19"/>
      <x:c r="E81" s="19"/>
      <x:c r="F81" s="19"/>
      <x:c r="G81" s="19"/>
      <x:c r="H81" s="19"/>
      <x:c r="I81" s="19"/>
    </x:row>
    <x:row r="82" ht="60" customHeight="1">
      <x:c r="A82" s="16"/>
      <x:c r="B82" s="16"/>
      <x:c r="C82" s="16"/>
      <x:c r="D82" s="19"/>
      <x:c r="E82" s="19"/>
      <x:c r="F82" s="19"/>
      <x:c r="G82" s="19"/>
      <x:c r="H82" s="19"/>
      <x:c r="I82" s="19"/>
    </x:row>
    <x:row r="83" ht="60" customHeight="1">
      <x:c r="A83" s="2"/>
      <x:c r="B83" s="2"/>
      <x:c r="C83" s="2"/>
      <x:c r="D83" s="19"/>
      <x:c r="E83" s="19"/>
      <x:c r="F83" s="19"/>
      <x:c r="G83" s="19"/>
      <x:c r="H83" s="19"/>
      <x:c r="I83" s="19"/>
    </x:row>
    <x:row r="84" ht="60" customHeight="1">
      <x:c r="A84" s="16"/>
      <x:c r="B84" s="16"/>
      <x:c r="C84" s="16"/>
      <x:c r="D84" s="19"/>
      <x:c r="E84" s="19"/>
      <x:c r="F84" s="19"/>
      <x:c r="G84" s="19"/>
      <x:c r="H84" s="19"/>
      <x:c r="I84" s="19"/>
    </x:row>
    <x:row r="85" ht="60" customHeight="1">
      <x:c r="A85" s="2"/>
      <x:c r="B85" s="2"/>
      <x:c r="C85" s="2"/>
      <x:c r="D85" s="19"/>
      <x:c r="E85" s="19"/>
      <x:c r="F85" s="19"/>
      <x:c r="G85" s="19"/>
      <x:c r="H85" s="19"/>
      <x:c r="I85" s="19"/>
    </x:row>
    <x:row r="86" ht="60" customHeight="1">
      <x:c r="A86" s="16"/>
      <x:c r="B86" s="16"/>
      <x:c r="C86" s="16"/>
      <x:c r="D86" s="19"/>
      <x:c r="E86" s="19"/>
      <x:c r="F86" s="19"/>
      <x:c r="G86" s="19"/>
      <x:c r="H86" s="19"/>
      <x:c r="I86" s="19"/>
    </x:row>
    <x:row r="87" ht="60" customHeight="1">
      <x:c r="A87" s="2"/>
      <x:c r="B87" s="2"/>
      <x:c r="C87" s="2"/>
      <x:c r="D87" s="19"/>
      <x:c r="E87" s="19"/>
      <x:c r="F87" s="19"/>
      <x:c r="G87" s="19"/>
      <x:c r="H87" s="19"/>
      <x:c r="I87" s="19"/>
    </x:row>
    <x:row r="88" ht="60" customHeight="1">
      <x:c r="A88" s="16"/>
      <x:c r="B88" s="16"/>
      <x:c r="C88" s="16"/>
      <x:c r="D88" s="19"/>
      <x:c r="E88" s="19"/>
      <x:c r="F88" s="19"/>
      <x:c r="G88" s="19"/>
      <x:c r="H88" s="19"/>
      <x:c r="I88" s="19"/>
    </x:row>
    <x:row r="89" ht="60" customHeight="1">
      <x:c r="A89" s="2"/>
      <x:c r="B89" s="2"/>
      <x:c r="C89" s="2"/>
      <x:c r="D89" s="19"/>
      <x:c r="E89" s="19"/>
      <x:c r="F89" s="19"/>
      <x:c r="G89" s="19"/>
      <x:c r="H89" s="19"/>
      <x:c r="I89" s="19"/>
    </x:row>
    <x:row r="90" ht="60" customHeight="1">
      <x:c r="A90" s="16"/>
      <x:c r="B90" s="16"/>
      <x:c r="C90" s="16"/>
      <x:c r="D90" s="19"/>
      <x:c r="E90" s="19"/>
      <x:c r="F90" s="19"/>
      <x:c r="G90" s="19"/>
      <x:c r="H90" s="19"/>
      <x:c r="I90" s="19"/>
    </x:row>
    <x:row r="91" ht="60" customHeight="1">
      <x:c r="A91" s="2"/>
      <x:c r="B91" s="2"/>
      <x:c r="C91" s="2"/>
      <x:c r="D91" s="19"/>
      <x:c r="E91" s="19"/>
      <x:c r="F91" s="19"/>
      <x:c r="G91" s="19"/>
      <x:c r="H91" s="19"/>
      <x:c r="I91" s="19"/>
    </x:row>
    <x:row r="92" ht="60" customHeight="1">
      <x:c r="A92" s="16"/>
      <x:c r="B92" s="16"/>
      <x:c r="C92" s="16"/>
      <x:c r="D92" s="19"/>
      <x:c r="E92" s="19"/>
      <x:c r="F92" s="19"/>
      <x:c r="G92" s="19"/>
      <x:c r="H92" s="19"/>
      <x:c r="I92" s="19"/>
    </x:row>
    <x:row r="93" ht="60" customHeight="1">
      <x:c r="A93" s="2"/>
      <x:c r="B93" s="2"/>
      <x:c r="C93" s="2"/>
      <x:c r="D93" s="19"/>
      <x:c r="E93" s="19"/>
      <x:c r="F93" s="19"/>
      <x:c r="G93" s="19"/>
      <x:c r="H93" s="19"/>
      <x:c r="I93" s="19"/>
    </x:row>
    <x:row r="94" ht="60" customHeight="1">
      <x:c r="A94" s="16"/>
      <x:c r="B94" s="16"/>
      <x:c r="C94" s="16"/>
      <x:c r="D94" s="19"/>
      <x:c r="E94" s="19"/>
      <x:c r="F94" s="19"/>
      <x:c r="G94" s="19"/>
      <x:c r="H94" s="19"/>
      <x:c r="I94" s="19"/>
    </x:row>
    <x:row r="95" ht="60" customHeight="1">
      <x:c r="A95" s="2"/>
      <x:c r="B95" s="2"/>
      <x:c r="C95" s="2"/>
      <x:c r="D95" s="19"/>
      <x:c r="E95" s="19"/>
      <x:c r="F95" s="19"/>
      <x:c r="G95" s="19"/>
      <x:c r="H95" s="19"/>
      <x:c r="I95" s="19"/>
    </x:row>
    <x:row r="96" ht="60" customHeight="1">
      <x:c r="A96" s="16"/>
      <x:c r="B96" s="16"/>
      <x:c r="C96" s="16"/>
      <x:c r="D96" s="19"/>
      <x:c r="E96" s="19"/>
      <x:c r="F96" s="19"/>
      <x:c r="G96" s="19"/>
      <x:c r="H96" s="19"/>
      <x:c r="I96" s="19"/>
    </x:row>
    <x:row r="97" ht="60" customHeight="1">
      <x:c r="A97" s="2"/>
      <x:c r="B97" s="2"/>
      <x:c r="C97" s="2"/>
      <x:c r="D97" s="19"/>
      <x:c r="E97" s="19"/>
      <x:c r="F97" s="19"/>
      <x:c r="G97" s="19"/>
      <x:c r="H97" s="19"/>
      <x:c r="I97" s="19"/>
    </x:row>
    <x:row r="98" ht="60" customHeight="1">
      <x:c r="A98" s="16"/>
      <x:c r="B98" s="16"/>
      <x:c r="C98" s="16"/>
      <x:c r="D98" s="19"/>
      <x:c r="E98" s="19"/>
      <x:c r="F98" s="19"/>
      <x:c r="G98" s="19"/>
      <x:c r="H98" s="19"/>
      <x:c r="I98" s="19"/>
    </x:row>
    <x:row r="99" ht="60" customHeight="1">
      <x:c r="A99" s="2"/>
      <x:c r="B99" s="2"/>
      <x:c r="C99" s="2"/>
      <x:c r="D99" s="19"/>
      <x:c r="E99" s="19"/>
      <x:c r="F99" s="19"/>
      <x:c r="G99" s="19"/>
      <x:c r="H99" s="19"/>
      <x:c r="I99" s="19"/>
    </x:row>
    <x:row r="100" ht="60" customHeight="1">
      <x:c r="A100" s="16"/>
      <x:c r="B100" s="16"/>
      <x:c r="C100" s="16"/>
      <x:c r="D100" s="19"/>
      <x:c r="E100" s="19"/>
      <x:c r="F100" s="19"/>
      <x:c r="G100" s="19"/>
      <x:c r="H100" s="19"/>
      <x:c r="I100" s="19"/>
    </x:row>
    <x:row r="101" ht="60" customHeight="1">
      <x:c r="A101" s="2"/>
      <x:c r="B101" s="2"/>
      <x:c r="C101" s="2"/>
      <x:c r="D101" s="19"/>
      <x:c r="E101" s="19"/>
      <x:c r="F101" s="19"/>
      <x:c r="G101" s="19"/>
      <x:c r="H101" s="19"/>
      <x:c r="I101" s="19"/>
    </x:row>
    <x:row r="102" ht="60" customHeight="1">
      <x:c r="A102" s="16"/>
      <x:c r="B102" s="16"/>
      <x:c r="C102" s="16"/>
      <x:c r="D102" s="19"/>
      <x:c r="E102" s="19"/>
      <x:c r="F102" s="19"/>
      <x:c r="G102" s="19"/>
      <x:c r="H102" s="19"/>
      <x:c r="I102" s="19"/>
    </x:row>
    <x:row r="103" ht="60" customHeight="1">
      <x:c r="A103" s="2"/>
      <x:c r="B103" s="2"/>
      <x:c r="C103" s="2"/>
      <x:c r="D103" s="19"/>
      <x:c r="E103" s="19"/>
      <x:c r="F103" s="19"/>
      <x:c r="G103" s="19"/>
      <x:c r="H103" s="19"/>
      <x:c r="I103" s="19"/>
    </x:row>
    <x:row r="104" ht="60" customHeight="1">
      <x:c r="A104" s="16"/>
      <x:c r="B104" s="16"/>
      <x:c r="C104" s="16"/>
      <x:c r="D104" s="19"/>
      <x:c r="E104" s="19"/>
      <x:c r="F104" s="19"/>
      <x:c r="G104" s="19"/>
      <x:c r="H104" s="19"/>
      <x:c r="I104" s="19"/>
    </x:row>
    <x:row r="105" ht="60" customHeight="1">
      <x:c r="A105" s="2"/>
      <x:c r="B105" s="2"/>
      <x:c r="C105" s="2"/>
      <x:c r="D105" s="19"/>
      <x:c r="E105" s="19"/>
      <x:c r="F105" s="19"/>
      <x:c r="G105" s="19"/>
      <x:c r="H105" s="19"/>
      <x:c r="I105" s="19"/>
    </x:row>
    <x:row r="106" ht="60" customHeight="1">
      <x:c r="A106" s="16"/>
      <x:c r="B106" s="16"/>
      <x:c r="C106" s="16"/>
      <x:c r="D106" s="19"/>
      <x:c r="E106" s="19"/>
      <x:c r="F106" s="19"/>
      <x:c r="G106" s="19"/>
      <x:c r="H106" s="19"/>
      <x:c r="I106" s="19"/>
    </x:row>
    <x:row r="107" ht="60" customHeight="1">
      <x:c r="A107" s="2"/>
      <x:c r="B107" s="2"/>
      <x:c r="C107" s="2"/>
      <x:c r="D107" s="19"/>
      <x:c r="E107" s="19"/>
      <x:c r="F107" s="19"/>
      <x:c r="G107" s="19"/>
      <x:c r="H107" s="19"/>
      <x:c r="I107" s="19"/>
    </x:row>
    <x:row r="108" ht="60" customHeight="1">
      <x:c r="A108" s="16"/>
      <x:c r="B108" s="16"/>
      <x:c r="C108" s="16"/>
      <x:c r="D108" s="19"/>
      <x:c r="E108" s="19"/>
      <x:c r="F108" s="19"/>
      <x:c r="G108" s="19"/>
      <x:c r="H108" s="19"/>
      <x:c r="I108" s="19"/>
    </x:row>
    <x:row r="109" ht="60" customHeight="1">
      <x:c r="A109" s="2"/>
      <x:c r="B109" s="2"/>
      <x:c r="C109" s="2"/>
      <x:c r="D109" s="19"/>
      <x:c r="E109" s="19"/>
      <x:c r="F109" s="19"/>
      <x:c r="G109" s="19"/>
      <x:c r="H109" s="19"/>
      <x:c r="I109" s="19"/>
    </x:row>
    <x:row r="110" ht="60" customHeight="1">
      <x:c r="A110" s="16"/>
      <x:c r="B110" s="16"/>
      <x:c r="C110" s="16"/>
      <x:c r="D110" s="19"/>
      <x:c r="E110" s="19"/>
      <x:c r="F110" s="19"/>
      <x:c r="G110" s="19"/>
      <x:c r="H110" s="19"/>
      <x:c r="I110" s="19"/>
    </x:row>
    <x:row r="111" ht="60" customHeight="1">
      <x:c r="A111" s="2"/>
      <x:c r="B111" s="2"/>
      <x:c r="C111" s="2"/>
      <x:c r="D111" s="19"/>
      <x:c r="E111" s="19"/>
      <x:c r="F111" s="19"/>
      <x:c r="G111" s="19"/>
      <x:c r="H111" s="19"/>
      <x:c r="I111" s="19"/>
    </x:row>
    <x:row r="112" ht="60" customHeight="1">
      <x:c r="A112" s="16"/>
      <x:c r="B112" s="16"/>
      <x:c r="C112" s="16"/>
      <x:c r="D112" s="19"/>
      <x:c r="E112" s="19"/>
      <x:c r="F112" s="19"/>
      <x:c r="G112" s="19"/>
      <x:c r="H112" s="19"/>
      <x:c r="I112" s="19"/>
    </x:row>
    <x:row r="113" ht="60" customHeight="1">
      <x:c r="A113" s="2"/>
      <x:c r="B113" s="2"/>
      <x:c r="C113" s="2"/>
      <x:c r="D113" s="19"/>
      <x:c r="E113" s="19"/>
      <x:c r="F113" s="19"/>
      <x:c r="G113" s="19"/>
      <x:c r="H113" s="19"/>
      <x:c r="I113" s="19"/>
    </x:row>
    <x:row r="114" ht="60" customHeight="1">
      <x:c r="A114" s="16"/>
      <x:c r="B114" s="16"/>
      <x:c r="C114" s="16"/>
      <x:c r="D114" s="19"/>
      <x:c r="E114" s="19"/>
      <x:c r="F114" s="19"/>
      <x:c r="G114" s="19"/>
      <x:c r="H114" s="19"/>
      <x:c r="I114" s="19"/>
    </x:row>
    <x:row r="115" ht="60" customHeight="1">
      <x:c r="A115" s="2"/>
      <x:c r="B115" s="2"/>
      <x:c r="C115" s="2"/>
      <x:c r="D115" s="19"/>
      <x:c r="E115" s="19"/>
      <x:c r="F115" s="19"/>
      <x:c r="G115" s="19"/>
      <x:c r="H115" s="19"/>
      <x:c r="I115" s="19"/>
    </x:row>
    <x:row r="116" ht="60" customHeight="1">
      <x:c r="A116" s="16"/>
      <x:c r="B116" s="16"/>
      <x:c r="C116" s="16"/>
      <x:c r="D116" s="19"/>
      <x:c r="E116" s="19"/>
      <x:c r="F116" s="19"/>
      <x:c r="G116" s="19"/>
      <x:c r="H116" s="19"/>
      <x:c r="I116" s="19"/>
    </x:row>
    <x:row r="117" ht="60" customHeight="1">
      <x:c r="A117" s="2"/>
      <x:c r="B117" s="2"/>
      <x:c r="C117" s="2"/>
      <x:c r="D117" s="19"/>
      <x:c r="E117" s="19"/>
      <x:c r="F117" s="19"/>
      <x:c r="G117" s="19"/>
      <x:c r="H117" s="19"/>
      <x:c r="I117" s="19"/>
    </x:row>
    <x:row r="118" ht="60" customHeight="1">
      <x:c r="A118" s="16"/>
      <x:c r="B118" s="16"/>
      <x:c r="C118" s="16"/>
      <x:c r="D118" s="19"/>
      <x:c r="E118" s="19"/>
      <x:c r="F118" s="19"/>
      <x:c r="G118" s="19"/>
      <x:c r="H118" s="19"/>
      <x:c r="I118" s="19"/>
    </x:row>
    <x:row r="119" ht="60" customHeight="1">
      <x:c r="A119" s="2"/>
      <x:c r="B119" s="2"/>
      <x:c r="C119" s="2"/>
      <x:c r="D119" s="19"/>
      <x:c r="E119" s="19"/>
      <x:c r="F119" s="19"/>
      <x:c r="G119" s="19"/>
      <x:c r="H119" s="19"/>
      <x:c r="I119" s="19"/>
    </x:row>
    <x:row r="120" ht="60" customHeight="1">
      <x:c r="A120" s="16"/>
      <x:c r="B120" s="16"/>
      <x:c r="C120" s="16"/>
      <x:c r="D120" s="19"/>
      <x:c r="E120" s="19"/>
      <x:c r="F120" s="19"/>
      <x:c r="G120" s="19"/>
      <x:c r="H120" s="19"/>
      <x:c r="I120" s="19"/>
    </x:row>
    <x:row r="121" ht="60" customHeight="1">
      <x:c r="A121" s="2"/>
      <x:c r="B121" s="2"/>
      <x:c r="C121" s="2"/>
      <x:c r="D121" s="19"/>
      <x:c r="E121" s="19"/>
      <x:c r="F121" s="19"/>
      <x:c r="G121" s="19"/>
      <x:c r="H121" s="19"/>
      <x:c r="I121" s="19"/>
    </x:row>
    <x:row r="122" ht="60" customHeight="1">
      <x:c r="A122" s="16"/>
      <x:c r="B122" s="16"/>
      <x:c r="C122" s="16"/>
      <x:c r="D122" s="19"/>
      <x:c r="E122" s="19"/>
      <x:c r="F122" s="19"/>
      <x:c r="G122" s="19"/>
      <x:c r="H122" s="19"/>
      <x:c r="I122" s="19"/>
    </x:row>
    <x:row r="123" ht="60" customHeight="1">
      <x:c r="A123" s="2"/>
      <x:c r="B123" s="2"/>
      <x:c r="C123" s="2"/>
      <x:c r="D123" s="19"/>
      <x:c r="E123" s="19"/>
      <x:c r="F123" s="19"/>
      <x:c r="G123" s="19"/>
      <x:c r="H123" s="19"/>
      <x:c r="I123" s="19"/>
    </x:row>
    <x:row r="124" ht="60" customHeight="1">
      <x:c r="A124" s="16"/>
      <x:c r="B124" s="16"/>
      <x:c r="C124" s="16"/>
      <x:c r="D124" s="19"/>
      <x:c r="E124" s="19"/>
      <x:c r="F124" s="19"/>
      <x:c r="G124" s="19"/>
      <x:c r="H124" s="19"/>
      <x:c r="I124" s="19"/>
    </x:row>
    <x:row r="125" ht="60" customHeight="1">
      <x:c r="A125" s="2"/>
      <x:c r="B125" s="2"/>
      <x:c r="C125" s="2"/>
      <x:c r="D125" s="19"/>
      <x:c r="E125" s="19"/>
      <x:c r="F125" s="19"/>
      <x:c r="G125" s="19"/>
      <x:c r="H125" s="19"/>
      <x:c r="I125" s="19"/>
    </x:row>
    <x:row r="126" ht="60" customHeight="1">
      <x:c r="A126" s="16"/>
      <x:c r="B126" s="16"/>
      <x:c r="C126" s="16"/>
      <x:c r="D126" s="19"/>
      <x:c r="E126" s="19"/>
      <x:c r="F126" s="19"/>
      <x:c r="G126" s="19"/>
      <x:c r="H126" s="19"/>
      <x:c r="I126" s="19"/>
    </x:row>
    <x:row r="127" ht="60" customHeight="1">
      <x:c r="A127" s="2"/>
      <x:c r="B127" s="2"/>
      <x:c r="C127" s="2"/>
      <x:c r="D127" s="19"/>
      <x:c r="E127" s="19"/>
      <x:c r="F127" s="19"/>
      <x:c r="G127" s="19"/>
      <x:c r="H127" s="19"/>
      <x:c r="I127" s="19"/>
    </x:row>
    <x:row r="128" ht="60" customHeight="1">
      <x:c r="A128" s="16"/>
      <x:c r="B128" s="16"/>
      <x:c r="C128" s="16"/>
      <x:c r="D128" s="19"/>
      <x:c r="E128" s="19"/>
      <x:c r="F128" s="19"/>
      <x:c r="G128" s="19"/>
      <x:c r="H128" s="19"/>
      <x:c r="I128" s="19"/>
    </x:row>
    <x:row r="129" ht="60" customHeight="1">
      <x:c r="A129" s="2"/>
      <x:c r="B129" s="2"/>
      <x:c r="C129" s="2"/>
      <x:c r="D129" s="19"/>
      <x:c r="E129" s="19"/>
      <x:c r="F129" s="19"/>
      <x:c r="G129" s="19"/>
      <x:c r="H129" s="19"/>
      <x:c r="I129" s="19"/>
    </x:row>
    <x:row r="130" ht="60" customHeight="1">
      <x:c r="A130" s="16"/>
      <x:c r="B130" s="16"/>
      <x:c r="C130" s="16"/>
      <x:c r="D130" s="19"/>
      <x:c r="E130" s="19"/>
      <x:c r="F130" s="19"/>
      <x:c r="G130" s="19"/>
      <x:c r="H130" s="19"/>
      <x:c r="I130" s="19"/>
    </x:row>
    <x:row r="131" ht="60" customHeight="1">
      <x:c r="A131" s="2"/>
      <x:c r="B131" s="2"/>
      <x:c r="C131" s="2"/>
      <x:c r="D131" s="19"/>
      <x:c r="E131" s="19"/>
      <x:c r="F131" s="19"/>
      <x:c r="G131" s="19"/>
      <x:c r="H131" s="19"/>
      <x:c r="I131" s="19"/>
    </x:row>
    <x:row r="132" ht="60" customHeight="1">
      <x:c r="A132" s="16"/>
      <x:c r="B132" s="16"/>
      <x:c r="C132" s="16"/>
      <x:c r="D132" s="19"/>
      <x:c r="E132" s="19"/>
      <x:c r="F132" s="19"/>
      <x:c r="G132" s="19"/>
      <x:c r="H132" s="19"/>
      <x:c r="I132" s="19"/>
    </x:row>
    <x:row r="133" ht="60" customHeight="1">
      <x:c r="A133" s="2"/>
      <x:c r="B133" s="2"/>
      <x:c r="C133" s="2"/>
      <x:c r="D133" s="19"/>
      <x:c r="E133" s="19"/>
      <x:c r="F133" s="19"/>
      <x:c r="G133" s="19"/>
      <x:c r="H133" s="19"/>
      <x:c r="I133" s="19"/>
    </x:row>
    <x:row r="134" ht="60" customHeight="1">
      <x:c r="A134" s="16"/>
      <x:c r="B134" s="16"/>
      <x:c r="C134" s="16"/>
      <x:c r="D134" s="19"/>
      <x:c r="E134" s="19"/>
      <x:c r="F134" s="19"/>
      <x:c r="G134" s="19"/>
      <x:c r="H134" s="19"/>
      <x:c r="I134" s="19"/>
    </x:row>
    <x:row r="135" ht="60" customHeight="1">
      <x:c r="A135" s="2"/>
      <x:c r="B135" s="2"/>
      <x:c r="C135" s="2"/>
      <x:c r="D135" s="19"/>
      <x:c r="E135" s="19"/>
      <x:c r="F135" s="19"/>
      <x:c r="G135" s="19"/>
      <x:c r="H135" s="19"/>
      <x:c r="I135" s="19"/>
    </x:row>
    <x:row r="136" ht="60" customHeight="1">
      <x:c r="A136" s="16"/>
      <x:c r="B136" s="16"/>
      <x:c r="C136" s="16"/>
      <x:c r="D136" s="19"/>
      <x:c r="E136" s="19"/>
      <x:c r="F136" s="19"/>
      <x:c r="G136" s="19"/>
      <x:c r="H136" s="19"/>
      <x:c r="I136" s="19"/>
    </x:row>
    <x:row r="137" ht="60" customHeight="1">
      <x:c r="A137" s="2"/>
      <x:c r="B137" s="2"/>
      <x:c r="C137" s="2"/>
      <x:c r="D137" s="19"/>
      <x:c r="E137" s="19"/>
      <x:c r="F137" s="19"/>
      <x:c r="G137" s="19"/>
      <x:c r="H137" s="19"/>
      <x:c r="I137" s="19"/>
    </x:row>
    <x:row r="138" ht="60" customHeight="1">
      <x:c r="A138" s="16"/>
      <x:c r="B138" s="16"/>
      <x:c r="C138" s="16"/>
      <x:c r="D138" s="19"/>
      <x:c r="E138" s="19"/>
      <x:c r="F138" s="19"/>
      <x:c r="G138" s="19"/>
      <x:c r="H138" s="19"/>
      <x:c r="I138" s="19"/>
    </x:row>
    <x:row r="139" ht="60" customHeight="1">
      <x:c r="A139" s="2"/>
      <x:c r="B139" s="2"/>
      <x:c r="C139" s="2"/>
      <x:c r="D139" s="19"/>
      <x:c r="E139" s="19"/>
      <x:c r="F139" s="19"/>
      <x:c r="G139" s="19"/>
      <x:c r="H139" s="19"/>
      <x:c r="I139" s="19"/>
    </x:row>
    <x:row r="140" ht="60" customHeight="1">
      <x:c r="A140" s="16"/>
      <x:c r="B140" s="16"/>
      <x:c r="C140" s="16"/>
      <x:c r="D140" s="19"/>
      <x:c r="E140" s="19"/>
      <x:c r="F140" s="19"/>
      <x:c r="G140" s="19"/>
      <x:c r="H140" s="19"/>
      <x:c r="I140" s="19"/>
    </x:row>
    <x:row r="141" ht="60" customHeight="1">
      <x:c r="A141" s="2"/>
      <x:c r="B141" s="2"/>
      <x:c r="C141" s="2"/>
      <x:c r="D141" s="19"/>
      <x:c r="E141" s="19"/>
      <x:c r="F141" s="19"/>
      <x:c r="G141" s="19"/>
      <x:c r="H141" s="19"/>
      <x:c r="I141" s="19"/>
    </x:row>
    <x:row r="142" ht="60" customHeight="1">
      <x:c r="A142" s="16"/>
      <x:c r="B142" s="16"/>
      <x:c r="C142" s="16"/>
      <x:c r="D142" s="19"/>
      <x:c r="E142" s="19"/>
      <x:c r="F142" s="19"/>
      <x:c r="G142" s="19"/>
      <x:c r="H142" s="19"/>
      <x:c r="I142" s="19"/>
    </x:row>
    <x:row r="143" ht="60" customHeight="1">
      <x:c r="A143" s="2"/>
      <x:c r="B143" s="2"/>
      <x:c r="C143" s="2"/>
      <x:c r="D143" s="19"/>
      <x:c r="E143" s="19"/>
      <x:c r="F143" s="19"/>
      <x:c r="G143" s="19"/>
      <x:c r="H143" s="19"/>
      <x:c r="I143" s="19"/>
    </x:row>
    <x:row r="144" ht="60" customHeight="1">
      <x:c r="A144" s="16"/>
      <x:c r="B144" s="16"/>
      <x:c r="C144" s="16"/>
      <x:c r="D144" s="19"/>
      <x:c r="E144" s="19"/>
      <x:c r="F144" s="19"/>
      <x:c r="G144" s="19"/>
      <x:c r="H144" s="19"/>
      <x:c r="I144" s="19"/>
    </x:row>
    <x:row r="145" ht="60" customHeight="1">
      <x:c r="A145" s="2"/>
      <x:c r="B145" s="2"/>
      <x:c r="C145" s="2"/>
      <x:c r="D145" s="19"/>
      <x:c r="E145" s="19"/>
      <x:c r="F145" s="19"/>
      <x:c r="G145" s="19"/>
      <x:c r="H145" s="19"/>
      <x:c r="I145" s="19"/>
    </x:row>
    <x:row r="146" ht="60" customHeight="1">
      <x:c r="A146" s="16"/>
      <x:c r="B146" s="16"/>
      <x:c r="C146" s="16"/>
      <x:c r="D146" s="19"/>
      <x:c r="E146" s="19"/>
      <x:c r="F146" s="19"/>
      <x:c r="G146" s="19"/>
      <x:c r="H146" s="19"/>
      <x:c r="I146" s="19"/>
    </x:row>
    <x:row r="147" ht="60" customHeight="1">
      <x:c r="A147" s="2"/>
      <x:c r="B147" s="2"/>
      <x:c r="C147" s="2"/>
      <x:c r="D147" s="19"/>
      <x:c r="E147" s="19"/>
      <x:c r="F147" s="19"/>
      <x:c r="G147" s="19"/>
      <x:c r="H147" s="19"/>
      <x:c r="I147" s="19"/>
    </x:row>
    <x:row r="148" ht="60" customHeight="1">
      <x:c r="A148" s="16"/>
      <x:c r="B148" s="16"/>
      <x:c r="C148" s="16"/>
      <x:c r="D148" s="19"/>
      <x:c r="E148" s="19"/>
      <x:c r="F148" s="19"/>
      <x:c r="G148" s="19"/>
      <x:c r="H148" s="19"/>
      <x:c r="I148" s="19"/>
    </x:row>
    <x:row r="149" ht="60" customHeight="1">
      <x:c r="A149" s="2"/>
      <x:c r="B149" s="2"/>
      <x:c r="C149" s="2"/>
      <x:c r="D149" s="19"/>
      <x:c r="E149" s="19"/>
      <x:c r="F149" s="19"/>
      <x:c r="G149" s="19"/>
      <x:c r="H149" s="19"/>
      <x:c r="I149" s="19"/>
    </x:row>
    <x:row r="150" ht="60" customHeight="1">
      <x:c r="A150" s="16"/>
      <x:c r="B150" s="16"/>
      <x:c r="C150" s="16"/>
      <x:c r="D150" s="19"/>
      <x:c r="E150" s="19"/>
      <x:c r="F150" s="19"/>
      <x:c r="G150" s="19"/>
      <x:c r="H150" s="19"/>
      <x:c r="I150" s="19"/>
    </x:row>
    <x:row r="151" ht="60" customHeight="1">
      <x:c r="A151" s="2"/>
      <x:c r="B151" s="2"/>
      <x:c r="C151" s="2"/>
      <x:c r="D151" s="19"/>
      <x:c r="E151" s="19"/>
      <x:c r="F151" s="19"/>
      <x:c r="G151" s="19"/>
      <x:c r="H151" s="19"/>
      <x:c r="I151" s="19"/>
    </x:row>
    <x:row r="152" ht="60" customHeight="1">
      <x:c r="A152" s="16"/>
      <x:c r="B152" s="16"/>
      <x:c r="C152" s="16"/>
      <x:c r="D152" s="19"/>
      <x:c r="E152" s="19"/>
      <x:c r="F152" s="19"/>
      <x:c r="G152" s="19"/>
      <x:c r="H152" s="19"/>
      <x:c r="I152" s="19"/>
    </x:row>
    <x:row r="153" ht="60" customHeight="1">
      <x:c r="A153" s="2"/>
      <x:c r="B153" s="2"/>
      <x:c r="C153" s="2"/>
      <x:c r="D153" s="19"/>
      <x:c r="E153" s="19"/>
      <x:c r="F153" s="19"/>
      <x:c r="G153" s="19"/>
      <x:c r="H153" s="19"/>
      <x:c r="I153" s="19"/>
    </x:row>
    <x:row r="154" ht="60" customHeight="1">
      <x:c r="A154" s="16"/>
      <x:c r="B154" s="16"/>
      <x:c r="C154" s="16"/>
      <x:c r="D154" s="19"/>
      <x:c r="E154" s="19"/>
      <x:c r="F154" s="19"/>
      <x:c r="G154" s="19"/>
      <x:c r="H154" s="19"/>
      <x:c r="I154" s="19"/>
    </x:row>
    <x:row r="155" ht="60" customHeight="1">
      <x:c r="A155" s="2"/>
      <x:c r="B155" s="2"/>
      <x:c r="C155" s="2"/>
      <x:c r="D155" s="19"/>
      <x:c r="E155" s="19"/>
      <x:c r="F155" s="19"/>
      <x:c r="G155" s="19"/>
      <x:c r="H155" s="19"/>
      <x:c r="I155" s="19"/>
    </x:row>
    <x:row r="156" ht="60" customHeight="1">
      <x:c r="A156" s="16"/>
      <x:c r="B156" s="16"/>
      <x:c r="C156" s="16"/>
      <x:c r="D156" s="19"/>
      <x:c r="E156" s="19"/>
      <x:c r="F156" s="19"/>
      <x:c r="G156" s="19"/>
      <x:c r="H156" s="19"/>
      <x:c r="I156" s="19"/>
    </x:row>
    <x:row r="157" ht="60" customHeight="1">
      <x:c r="A157" s="2"/>
      <x:c r="B157" s="2"/>
      <x:c r="C157" s="2"/>
      <x:c r="D157" s="19"/>
      <x:c r="E157" s="19"/>
      <x:c r="F157" s="19"/>
      <x:c r="G157" s="19"/>
      <x:c r="H157" s="19"/>
      <x:c r="I157" s="19"/>
    </x:row>
    <x:row r="158" ht="60" customHeight="1">
      <x:c r="A158" s="16"/>
      <x:c r="B158" s="16"/>
      <x:c r="C158" s="16"/>
      <x:c r="D158" s="19"/>
      <x:c r="E158" s="19"/>
      <x:c r="F158" s="19"/>
      <x:c r="G158" s="19"/>
      <x:c r="H158" s="19"/>
      <x:c r="I158" s="19"/>
    </x:row>
    <x:row r="159" ht="60" customHeight="1">
      <x:c r="A159" s="2"/>
      <x:c r="B159" s="2"/>
      <x:c r="C159" s="2"/>
      <x:c r="D159" s="19"/>
      <x:c r="E159" s="19"/>
      <x:c r="F159" s="19"/>
      <x:c r="G159" s="19"/>
      <x:c r="H159" s="19"/>
      <x:c r="I159" s="19"/>
    </x:row>
    <x:row r="160" ht="60" customHeight="1">
      <x:c r="A160" s="16"/>
      <x:c r="B160" s="16"/>
      <x:c r="C160" s="16"/>
      <x:c r="D160" s="19"/>
      <x:c r="E160" s="19"/>
      <x:c r="F160" s="19"/>
      <x:c r="G160" s="19"/>
      <x:c r="H160" s="19"/>
      <x:c r="I160" s="19"/>
    </x:row>
    <x:row r="161" ht="60" customHeight="1">
      <x:c r="A161" s="2"/>
      <x:c r="B161" s="2"/>
      <x:c r="C161" s="2"/>
      <x:c r="D161" s="19"/>
      <x:c r="E161" s="19"/>
      <x:c r="F161" s="19"/>
      <x:c r="G161" s="19"/>
      <x:c r="H161" s="19"/>
      <x:c r="I161" s="19"/>
    </x:row>
    <x:row r="162" ht="60" customHeight="1">
      <x:c r="A162" s="16"/>
      <x:c r="B162" s="16"/>
      <x:c r="C162" s="16"/>
      <x:c r="D162" s="19"/>
      <x:c r="E162" s="19"/>
      <x:c r="F162" s="19"/>
      <x:c r="G162" s="19"/>
      <x:c r="H162" s="19"/>
      <x:c r="I162" s="19"/>
    </x:row>
    <x:row r="163" ht="60" customHeight="1">
      <x:c r="A163" s="2"/>
      <x:c r="B163" s="2"/>
      <x:c r="C163" s="2"/>
      <x:c r="D163" s="19"/>
      <x:c r="E163" s="19"/>
      <x:c r="F163" s="19"/>
      <x:c r="G163" s="19"/>
      <x:c r="H163" s="19"/>
      <x:c r="I163" s="19"/>
    </x:row>
    <x:row r="164" ht="60" customHeight="1">
      <x:c r="A164" s="16"/>
      <x:c r="B164" s="16"/>
      <x:c r="C164" s="16"/>
      <x:c r="D164" s="19"/>
      <x:c r="E164" s="19"/>
      <x:c r="F164" s="19"/>
      <x:c r="G164" s="19"/>
      <x:c r="H164" s="19"/>
      <x:c r="I164" s="19"/>
    </x:row>
    <x:row r="165" ht="60" customHeight="1">
      <x:c r="A165" s="2"/>
      <x:c r="B165" s="2"/>
      <x:c r="C165" s="2"/>
      <x:c r="D165" s="19"/>
      <x:c r="E165" s="19"/>
      <x:c r="F165" s="19"/>
      <x:c r="G165" s="19"/>
      <x:c r="H165" s="19"/>
      <x:c r="I165" s="19"/>
    </x:row>
    <x:row r="166" ht="60" customHeight="1">
      <x:c r="A166" s="16"/>
      <x:c r="B166" s="16"/>
      <x:c r="C166" s="16"/>
      <x:c r="D166" s="19"/>
      <x:c r="E166" s="19"/>
      <x:c r="F166" s="19"/>
      <x:c r="G166" s="19"/>
      <x:c r="H166" s="19"/>
      <x:c r="I166" s="19"/>
    </x:row>
    <x:row r="167" ht="60" customHeight="1">
      <x:c r="A167" s="2"/>
      <x:c r="B167" s="2"/>
      <x:c r="C167" s="2"/>
      <x:c r="D167" s="19"/>
      <x:c r="E167" s="19"/>
      <x:c r="F167" s="19"/>
      <x:c r="G167" s="19"/>
      <x:c r="H167" s="19"/>
      <x:c r="I167" s="19"/>
    </x:row>
    <x:row r="168" ht="60" customHeight="1">
      <x:c r="A168" s="16"/>
      <x:c r="B168" s="16"/>
      <x:c r="C168" s="16"/>
      <x:c r="D168" s="19"/>
      <x:c r="E168" s="19"/>
      <x:c r="F168" s="19"/>
      <x:c r="G168" s="19"/>
      <x:c r="H168" s="19"/>
      <x:c r="I168" s="19"/>
    </x:row>
    <x:row r="169" ht="60" customHeight="1">
      <x:c r="A169" s="2"/>
      <x:c r="B169" s="2"/>
      <x:c r="C169" s="2"/>
      <x:c r="D169" s="19"/>
      <x:c r="E169" s="19"/>
      <x:c r="F169" s="19"/>
      <x:c r="G169" s="19"/>
      <x:c r="H169" s="19"/>
      <x:c r="I169" s="19"/>
    </x:row>
    <x:row r="170" ht="60" customHeight="1">
      <x:c r="A170" s="16"/>
      <x:c r="B170" s="16"/>
      <x:c r="C170" s="16"/>
      <x:c r="D170" s="19"/>
      <x:c r="E170" s="19"/>
      <x:c r="F170" s="19"/>
      <x:c r="G170" s="19"/>
      <x:c r="H170" s="19"/>
      <x:c r="I170" s="19"/>
    </x:row>
    <x:row r="171" ht="60" customHeight="1">
      <x:c r="A171" s="2"/>
      <x:c r="B171" s="2"/>
      <x:c r="C171" s="2"/>
      <x:c r="D171" s="19"/>
      <x:c r="E171" s="19"/>
      <x:c r="F171" s="19"/>
      <x:c r="G171" s="19"/>
      <x:c r="H171" s="19"/>
      <x:c r="I171" s="19"/>
    </x:row>
    <x:row r="172" ht="60" customHeight="1">
      <x:c r="A172" s="16"/>
      <x:c r="B172" s="16"/>
      <x:c r="C172" s="16"/>
      <x:c r="D172" s="19"/>
      <x:c r="E172" s="19"/>
      <x:c r="F172" s="19"/>
      <x:c r="G172" s="19"/>
      <x:c r="H172" s="19"/>
      <x:c r="I172" s="19"/>
    </x:row>
    <x:row r="173" ht="60" customHeight="1">
      <x:c r="A173" s="2"/>
      <x:c r="B173" s="2"/>
      <x:c r="C173" s="2"/>
      <x:c r="D173" s="19"/>
      <x:c r="E173" s="19"/>
      <x:c r="F173" s="19"/>
      <x:c r="G173" s="19"/>
      <x:c r="H173" s="19"/>
      <x:c r="I173" s="19"/>
    </x:row>
    <x:row r="174" ht="60" customHeight="1">
      <x:c r="A174" s="16"/>
      <x:c r="B174" s="16"/>
      <x:c r="C174" s="16"/>
      <x:c r="D174" s="19"/>
      <x:c r="E174" s="19"/>
      <x:c r="F174" s="19"/>
      <x:c r="G174" s="19"/>
      <x:c r="H174" s="19"/>
      <x:c r="I174" s="19"/>
    </x:row>
    <x:row r="175" ht="60" customHeight="1">
      <x:c r="A175" s="2"/>
      <x:c r="B175" s="2"/>
      <x:c r="C175" s="2"/>
      <x:c r="D175" s="19"/>
      <x:c r="E175" s="19"/>
      <x:c r="F175" s="19"/>
      <x:c r="G175" s="19"/>
      <x:c r="H175" s="19"/>
      <x:c r="I175" s="19"/>
    </x:row>
    <x:row r="176" ht="60" customHeight="1">
      <x:c r="A176" s="16"/>
      <x:c r="B176" s="16"/>
      <x:c r="C176" s="16"/>
      <x:c r="D176" s="19"/>
      <x:c r="E176" s="19"/>
      <x:c r="F176" s="19"/>
      <x:c r="G176" s="19"/>
      <x:c r="H176" s="19"/>
      <x:c r="I176" s="19"/>
    </x:row>
    <x:row r="177" ht="60" customHeight="1">
      <x:c r="A177" s="2"/>
      <x:c r="B177" s="2"/>
      <x:c r="C177" s="2"/>
      <x:c r="D177" s="19"/>
      <x:c r="E177" s="19"/>
      <x:c r="F177" s="19"/>
      <x:c r="G177" s="19"/>
      <x:c r="H177" s="19"/>
      <x:c r="I177" s="19"/>
    </x:row>
    <x:row r="178" ht="60" customHeight="1">
      <x:c r="A178" s="16"/>
      <x:c r="B178" s="16"/>
      <x:c r="C178" s="16"/>
      <x:c r="D178" s="19"/>
      <x:c r="E178" s="19"/>
      <x:c r="F178" s="19"/>
      <x:c r="G178" s="19"/>
      <x:c r="H178" s="19"/>
      <x:c r="I178" s="19"/>
    </x:row>
    <x:row r="179" ht="60" customHeight="1">
      <x:c r="A179" s="2"/>
      <x:c r="B179" s="2"/>
      <x:c r="C179" s="2"/>
      <x:c r="D179" s="19"/>
      <x:c r="E179" s="19"/>
      <x:c r="F179" s="19"/>
      <x:c r="G179" s="19"/>
      <x:c r="H179" s="19"/>
      <x:c r="I179" s="19"/>
    </x:row>
    <x:row r="180" ht="60" customHeight="1">
      <x:c r="A180" s="16"/>
      <x:c r="B180" s="16"/>
      <x:c r="C180" s="16"/>
      <x:c r="D180" s="19"/>
      <x:c r="E180" s="19"/>
      <x:c r="F180" s="19"/>
      <x:c r="G180" s="19"/>
      <x:c r="H180" s="19"/>
      <x:c r="I180" s="19"/>
    </x:row>
    <x:row r="181" ht="60" customHeight="1">
      <x:c r="A181" s="2"/>
      <x:c r="B181" s="2"/>
      <x:c r="C181" s="2"/>
      <x:c r="D181" s="19"/>
      <x:c r="E181" s="19"/>
      <x:c r="F181" s="19"/>
      <x:c r="G181" s="19"/>
      <x:c r="H181" s="19"/>
      <x:c r="I181" s="19"/>
    </x:row>
    <x:row r="182" ht="60" customHeight="1">
      <x:c r="A182" s="16"/>
      <x:c r="B182" s="16"/>
      <x:c r="C182" s="16"/>
      <x:c r="D182" s="19"/>
      <x:c r="E182" s="19"/>
      <x:c r="F182" s="19"/>
      <x:c r="G182" s="19"/>
      <x:c r="H182" s="19"/>
      <x:c r="I182" s="19"/>
    </x:row>
    <x:row r="183" ht="60" customHeight="1">
      <x:c r="A183" s="2"/>
      <x:c r="B183" s="2"/>
      <x:c r="C183" s="2"/>
      <x:c r="D183" s="19"/>
      <x:c r="E183" s="19"/>
      <x:c r="F183" s="19"/>
      <x:c r="G183" s="19"/>
      <x:c r="H183" s="19"/>
      <x:c r="I183" s="19"/>
    </x:row>
    <x:row r="184" ht="60" customHeight="1">
      <x:c r="A184" s="16"/>
      <x:c r="B184" s="16"/>
      <x:c r="C184" s="16"/>
      <x:c r="D184" s="19"/>
      <x:c r="E184" s="19"/>
      <x:c r="F184" s="19"/>
      <x:c r="G184" s="19"/>
      <x:c r="H184" s="19"/>
      <x:c r="I184" s="19"/>
    </x:row>
    <x:row r="185" ht="60" customHeight="1">
      <x:c r="A185" s="2"/>
      <x:c r="B185" s="2"/>
      <x:c r="C185" s="2"/>
      <x:c r="D185" s="19"/>
      <x:c r="E185" s="19"/>
      <x:c r="F185" s="19"/>
      <x:c r="G185" s="19"/>
      <x:c r="H185" s="19"/>
      <x:c r="I185" s="19"/>
    </x:row>
    <x:row r="186" ht="60" customHeight="1">
      <x:c r="A186" s="16"/>
      <x:c r="B186" s="16"/>
      <x:c r="C186" s="16"/>
      <x:c r="D186" s="19"/>
      <x:c r="E186" s="19"/>
      <x:c r="F186" s="19"/>
      <x:c r="G186" s="19"/>
      <x:c r="H186" s="19"/>
      <x:c r="I186" s="19"/>
    </x:row>
    <x:row r="187" ht="60" customHeight="1">
      <x:c r="A187" s="2"/>
      <x:c r="B187" s="2"/>
      <x:c r="C187" s="2"/>
      <x:c r="D187" s="19"/>
      <x:c r="E187" s="19"/>
      <x:c r="F187" s="19"/>
      <x:c r="G187" s="19"/>
      <x:c r="H187" s="19"/>
      <x:c r="I187" s="19"/>
    </x:row>
    <x:row r="188" ht="60" customHeight="1">
      <x:c r="A188" s="16"/>
      <x:c r="B188" s="16"/>
      <x:c r="C188" s="16"/>
      <x:c r="D188" s="19"/>
      <x:c r="E188" s="19"/>
      <x:c r="F188" s="19"/>
      <x:c r="G188" s="19"/>
      <x:c r="H188" s="19"/>
      <x:c r="I188" s="19"/>
    </x:row>
    <x:row r="189" ht="60" customHeight="1">
      <x:c r="A189" s="2"/>
      <x:c r="B189" s="2"/>
      <x:c r="C189" s="2"/>
      <x:c r="D189" s="19"/>
      <x:c r="E189" s="19"/>
      <x:c r="F189" s="19"/>
      <x:c r="G189" s="19"/>
      <x:c r="H189" s="19"/>
      <x:c r="I189" s="19"/>
    </x:row>
    <x:row r="190" ht="60" customHeight="1">
      <x:c r="A190" s="16"/>
      <x:c r="B190" s="16"/>
      <x:c r="C190" s="16"/>
      <x:c r="D190" s="19"/>
      <x:c r="E190" s="19"/>
      <x:c r="F190" s="19"/>
      <x:c r="G190" s="19"/>
      <x:c r="H190" s="19"/>
      <x:c r="I190" s="19"/>
    </x:row>
    <x:row r="191" ht="60" customHeight="1">
      <x:c r="A191" s="2"/>
      <x:c r="B191" s="2"/>
      <x:c r="C191" s="2"/>
      <x:c r="D191" s="19"/>
      <x:c r="E191" s="19"/>
      <x:c r="F191" s="19"/>
      <x:c r="G191" s="19"/>
      <x:c r="H191" s="19"/>
      <x:c r="I191" s="19"/>
    </x:row>
    <x:row r="192" ht="60" customHeight="1">
      <x:c r="A192" s="16"/>
      <x:c r="B192" s="16"/>
      <x:c r="C192" s="16"/>
      <x:c r="D192" s="19"/>
      <x:c r="E192" s="19"/>
      <x:c r="F192" s="19"/>
      <x:c r="G192" s="19"/>
      <x:c r="H192" s="19"/>
      <x:c r="I192" s="19"/>
    </x:row>
    <x:row r="193" ht="60" customHeight="1">
      <x:c r="A193" s="2"/>
      <x:c r="B193" s="2"/>
      <x:c r="C193" s="2"/>
      <x:c r="D193" s="19"/>
      <x:c r="E193" s="19"/>
      <x:c r="F193" s="19"/>
      <x:c r="G193" s="19"/>
      <x:c r="H193" s="19"/>
      <x:c r="I193" s="19"/>
    </x:row>
    <x:row r="194" ht="60" customHeight="1">
      <x:c r="A194" s="16"/>
      <x:c r="B194" s="16"/>
      <x:c r="C194" s="16"/>
      <x:c r="D194" s="19"/>
      <x:c r="E194" s="19"/>
      <x:c r="F194" s="19"/>
      <x:c r="G194" s="19"/>
      <x:c r="H194" s="19"/>
      <x:c r="I194" s="19"/>
    </x:row>
    <x:row r="195" ht="60" customHeight="1">
      <x:c r="A195" s="2"/>
      <x:c r="B195" s="2"/>
      <x:c r="C195" s="2"/>
      <x:c r="D195" s="19"/>
      <x:c r="E195" s="19"/>
      <x:c r="F195" s="19"/>
      <x:c r="G195" s="19"/>
      <x:c r="H195" s="19"/>
      <x:c r="I195" s="19"/>
    </x:row>
    <x:row r="196" ht="60" customHeight="1">
      <x:c r="A196" s="16"/>
      <x:c r="B196" s="16"/>
      <x:c r="C196" s="16"/>
      <x:c r="D196" s="19"/>
      <x:c r="E196" s="19"/>
      <x:c r="F196" s="19"/>
      <x:c r="G196" s="19"/>
      <x:c r="H196" s="19"/>
      <x:c r="I196" s="19"/>
    </x:row>
    <x:row r="197" ht="60" customHeight="1">
      <x:c r="A197" s="2"/>
      <x:c r="B197" s="2"/>
      <x:c r="C197" s="2"/>
      <x:c r="D197" s="19"/>
      <x:c r="E197" s="19"/>
      <x:c r="F197" s="19"/>
      <x:c r="G197" s="19"/>
      <x:c r="H197" s="19"/>
      <x:c r="I197" s="19"/>
    </x:row>
    <x:row r="198" ht="60" customHeight="1">
      <x:c r="A198" s="16"/>
      <x:c r="B198" s="16"/>
      <x:c r="C198" s="16"/>
      <x:c r="D198" s="19"/>
      <x:c r="E198" s="19"/>
      <x:c r="F198" s="19"/>
      <x:c r="G198" s="19"/>
      <x:c r="H198" s="19"/>
      <x:c r="I198" s="19"/>
    </x:row>
    <x:row r="199" ht="60" customHeight="1">
      <x:c r="A199" s="2"/>
      <x:c r="B199" s="2"/>
      <x:c r="C199" s="2"/>
      <x:c r="D199" s="19"/>
      <x:c r="E199" s="19"/>
      <x:c r="F199" s="19"/>
      <x:c r="G199" s="19"/>
      <x:c r="H199" s="19"/>
      <x:c r="I199" s="19"/>
    </x:row>
    <x:row r="200" ht="60" customHeight="1">
      <x:c r="A200" s="16"/>
      <x:c r="B200" s="16"/>
      <x:c r="C200" s="16"/>
      <x:c r="D200" s="19"/>
      <x:c r="E200" s="19"/>
      <x:c r="F200" s="19"/>
      <x:c r="G200" s="19"/>
      <x:c r="H200" s="19"/>
      <x:c r="I200" s="19"/>
    </x:row>
    <x:row r="201" ht="60" customHeight="1">
      <x:c r="A201" s="2"/>
      <x:c r="B201" s="2"/>
      <x:c r="C201" s="2"/>
      <x:c r="D201" s="19"/>
      <x:c r="E201" s="19"/>
      <x:c r="F201" s="19"/>
      <x:c r="G201" s="19"/>
      <x:c r="H201" s="19"/>
      <x:c r="I201" s="19"/>
    </x:row>
    <x:row r="202" ht="60" customHeight="1">
      <x:c r="A202" s="16"/>
      <x:c r="B202" s="16"/>
      <x:c r="C202" s="16"/>
      <x:c r="D202" s="19"/>
      <x:c r="E202" s="19"/>
      <x:c r="F202" s="19"/>
      <x:c r="G202" s="19"/>
      <x:c r="H202" s="19"/>
      <x:c r="I202" s="19"/>
    </x:row>
    <x:row r="203" ht="60" customHeight="1">
      <x:c r="A203" s="2"/>
      <x:c r="B203" s="2"/>
      <x:c r="C203" s="2"/>
      <x:c r="D203" s="19"/>
      <x:c r="E203" s="19"/>
      <x:c r="F203" s="19"/>
      <x:c r="G203" s="19"/>
      <x:c r="H203" s="19"/>
      <x:c r="I203" s="19"/>
    </x:row>
    <x:row r="204" ht="60" customHeight="1">
      <x:c r="A204" s="16"/>
      <x:c r="B204" s="16"/>
      <x:c r="C204" s="16"/>
      <x:c r="D204" s="19"/>
      <x:c r="E204" s="19"/>
      <x:c r="F204" s="19"/>
      <x:c r="G204" s="19"/>
      <x:c r="H204" s="19"/>
      <x:c r="I204" s="19"/>
    </x:row>
    <x:row r="205" ht="60" customHeight="1">
      <x:c r="A205" s="2"/>
      <x:c r="B205" s="2"/>
      <x:c r="C205" s="2"/>
      <x:c r="D205" s="19"/>
      <x:c r="E205" s="19"/>
      <x:c r="F205" s="19"/>
      <x:c r="G205" s="19"/>
      <x:c r="H205" s="19"/>
      <x:c r="I205" s="19"/>
    </x:row>
  </x:sheetData>
  <x:dataValidations count="1">
    <x:dataValidation type="list" sqref="G6:G205">
      <x:formula1>"DISEÑADO_NO_EJECUTADO,OBSERVADO,EN_CORRECCION,RETEST_PENDIENTE,VALIDADO,BLOCKED"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25" hidden="0" customWidth="1"/>
    <x:col min="4" max="4" width="65" hidden="0" customWidth="1"/>
    <x:col min="5" max="5" width="85" hidden="0" customWidth="1"/>
    <x:col min="6" max="6" width="32" hidden="0" customWidth="1"/>
    <x:col min="7" max="7" width="30" hidden="0" customWidth="1"/>
    <x:col min="8" max="8" width="65" hidden="0" customWidth="1"/>
    <x:col min="9" max="9" width="50" hidden="0" customWidth="1"/>
    <x:col min="10" max="10" width="30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Pruebas y evidencia por agente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5" customHeight="1">
      <x:c r="A4" s="25" t="str">
        <x:v>Casos preparados sin ejecución del repositorio. PASS exige evidencia real; una fila rellenada no lo demuestra.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13" t="str">
        <x:v>Caso</x:v>
      </x:c>
      <x:c r="B5" s="14" t="str">
        <x:v>Slot</x:v>
      </x:c>
      <x:c r="C5" s="14" t="str">
        <x:v>Responsable</x:v>
      </x:c>
      <x:c r="D5" s="14" t="str">
        <x:v>Objetivo</x:v>
      </x:c>
      <x:c r="E5" s="14" t="str">
        <x:v>Criterio de aceptación</x:v>
      </x:c>
      <x:c r="F5" s="14" t="str">
        <x:v>Estado</x:v>
      </x:c>
      <x:c r="G5" s="14" t="str">
        <x:v>SHA/entorno</x:v>
      </x:c>
      <x:c r="H5" s="14" t="str">
        <x:v>Resultado observado</x:v>
      </x:c>
      <x:c r="I5" s="14" t="str">
        <x:v>Evidencia URL</x:v>
      </x:c>
      <x:c r="J5" s="15" t="str">
        <x:v>Auditor</x:v>
      </x:c>
    </x:row>
    <x:row r="6" ht="65" customHeight="1">
      <x:c r="A6" s="16" t="str">
        <x:v>TEST-001</x:v>
      </x:c>
      <x:c r="B6" s="16" t="n">
        <x:v>1</x:v>
      </x:c>
      <x:c r="C6" s="16" t="str">
        <x:v>Elena Valdés</x:v>
      </x:c>
      <x:c r="D6" s="19" t="str">
        <x:v>Mandato con alcance, presupuesto, exclusiones y criterios de aceptación</x:v>
      </x:c>
      <x:c r="E6" s="19" t="str">
        <x:v>Resultado reproducible y vinculado a requisito, candidato exacto, entorno, fecha y evidencia independiente.</x:v>
      </x:c>
      <x:c r="F6" s="19" t="str">
        <x:v>DISEÑADO_NO_EJECUTADO</x:v>
      </x:c>
      <x:c r="G6" s="19" t="str"/>
      <x:c r="H6" s="19" t="str"/>
      <x:c r="I6" s="19" t="str"/>
      <x:c r="J6" s="19" t="str">
        <x:v>POR_ASIGNAR</x:v>
      </x:c>
    </x:row>
    <x:row r="7" ht="65" customHeight="1">
      <x:c r="A7" s="2" t="str">
        <x:v>TEST-002</x:v>
      </x:c>
      <x:c r="B7" s="2" t="n">
        <x:v>2</x:v>
      </x:c>
      <x:c r="C7" s="2" t="str">
        <x:v>Gabriel Montes</x:v>
      </x:c>
      <x:c r="D7" s="19" t="str">
        <x:v>ADR con alternativas y consecuencias</x:v>
      </x:c>
      <x:c r="E7" s="19" t="str">
        <x:v>Resultado reproducible y vinculado a requisito, candidato exacto, entorno, fecha y evidencia independiente.</x:v>
      </x:c>
      <x:c r="F7" s="19" t="str">
        <x:v>DISEÑADO_NO_EJECUTADO</x:v>
      </x:c>
      <x:c r="G7" s="19" t="str"/>
      <x:c r="H7" s="19" t="str"/>
      <x:c r="I7" s="19" t="str"/>
      <x:c r="J7" s="19" t="str">
        <x:v>POR_ASIGNAR</x:v>
      </x:c>
    </x:row>
    <x:row r="8" ht="65" customHeight="1">
      <x:c r="A8" s="16" t="str">
        <x:v>TEST-003</x:v>
      </x:c>
      <x:c r="B8" s="16" t="n">
        <x:v>3</x:v>
      </x:c>
      <x:c r="C8" s="16" t="str">
        <x:v>Santiago Vidal</x:v>
      </x:c>
      <x:c r="D8" s="19" t="str">
        <x:v>Matriz requisito → caso → ejecución → evidencia</x:v>
      </x:c>
      <x:c r="E8" s="19" t="str">
        <x:v>Resultado reproducible y vinculado a requisito, candidato exacto, entorno, fecha y evidencia independiente.</x:v>
      </x:c>
      <x:c r="F8" s="19" t="str">
        <x:v>DISEÑADO_NO_EJECUTADO</x:v>
      </x:c>
      <x:c r="G8" s="19" t="str"/>
      <x:c r="H8" s="19" t="str"/>
      <x:c r="I8" s="19" t="str"/>
      <x:c r="J8" s="19" t="str">
        <x:v>POR_ASIGNAR</x:v>
      </x:c>
    </x:row>
    <x:row r="9" ht="65" customHeight="1">
      <x:c r="A9" s="2" t="str">
        <x:v>TEST-004</x:v>
      </x:c>
      <x:c r="B9" s="2" t="n">
        <x:v>4</x:v>
      </x:c>
      <x:c r="C9" s="2" t="str">
        <x:v>Alba Prieto</x:v>
      </x:c>
      <x:c r="D9" s="19" t="str">
        <x:v>Registro de autorizaciones con alcance, caducidad y destino</x:v>
      </x:c>
      <x:c r="E9" s="19" t="str">
        <x:v>Resultado reproducible y vinculado a requisito, candidato exacto, entorno, fecha y evidencia independiente.</x:v>
      </x:c>
      <x:c r="F9" s="19" t="str">
        <x:v>DISEÑADO_NO_EJECUTADO</x:v>
      </x:c>
      <x:c r="G9" s="19" t="str"/>
      <x:c r="H9" s="19" t="str"/>
      <x:c r="I9" s="19" t="str"/>
      <x:c r="J9" s="19" t="str">
        <x:v>POR_ASIGNAR</x:v>
      </x:c>
    </x:row>
    <x:row r="10" ht="65" customHeight="1">
      <x:c r="A10" s="16" t="str">
        <x:v>TEST-005</x:v>
      </x:c>
      <x:c r="B10" s="16" t="n">
        <x:v>5</x:v>
      </x:c>
      <x:c r="C10" s="16" t="str">
        <x:v>Mateo Salvatierra</x:v>
      </x:c>
      <x:c r="D10" s="19" t="str">
        <x:v>Candidato integrado con cambios productores y consumidores</x:v>
      </x:c>
      <x:c r="E10" s="19" t="str">
        <x:v>Resultado reproducible y vinculado a requisito, candidato exacto, entorno, fecha y evidencia independiente.</x:v>
      </x:c>
      <x:c r="F10" s="19" t="str">
        <x:v>DISEÑADO_NO_EJECUTADO</x:v>
      </x:c>
      <x:c r="G10" s="19" t="str"/>
      <x:c r="H10" s="19" t="str"/>
      <x:c r="I10" s="19" t="str"/>
      <x:c r="J10" s="19" t="str">
        <x:v>POR_ASIGNAR</x:v>
      </x:c>
    </x:row>
    <x:row r="11" ht="65" customHeight="1">
      <x:c r="A11" s="2" t="str">
        <x:v>TEST-006</x:v>
      </x:c>
      <x:c r="B11" s="2" t="n">
        <x:v>6</x:v>
      </x:c>
      <x:c r="C11" s="2" t="str">
        <x:v>Lucía Ferrer</x:v>
      </x:c>
      <x:c r="D11" s="19" t="str">
        <x:v>Endpoints y consumidores con validación y autorización</x:v>
      </x:c>
      <x:c r="E11" s="19" t="str">
        <x:v>Resultado reproducible y vinculado a requisito, candidato exacto, entorno, fecha y evidencia independiente.</x:v>
      </x:c>
      <x:c r="F11" s="19" t="str">
        <x:v>DISEÑADO_NO_EJECUTADO</x:v>
      </x:c>
      <x:c r="G11" s="19" t="str"/>
      <x:c r="H11" s="19" t="str"/>
      <x:c r="I11" s="19" t="str"/>
      <x:c r="J11" s="19" t="str">
        <x:v>POR_ASIGNAR</x:v>
      </x:c>
    </x:row>
    <x:row r="12" ht="65" customHeight="1">
      <x:c r="A12" s="16" t="str">
        <x:v>TEST-007</x:v>
      </x:c>
      <x:c r="B12" s="16" t="n">
        <x:v>7</x:v>
      </x:c>
      <x:c r="C12" s="16" t="str">
        <x:v>Nicolás Vega</x:v>
      </x:c>
      <x:c r="D12" s="19" t="str">
        <x:v>Inventario control → acción → estado → efecto</x:v>
      </x:c>
      <x:c r="E12" s="19" t="str">
        <x:v>Resultado reproducible y vinculado a requisito, candidato exacto, entorno, fecha y evidencia independiente.</x:v>
      </x:c>
      <x:c r="F12" s="19" t="str">
        <x:v>DISEÑADO_NO_EJECUTADO</x:v>
      </x:c>
      <x:c r="G12" s="19" t="str"/>
      <x:c r="H12" s="19" t="str"/>
      <x:c r="I12" s="19" t="str"/>
      <x:c r="J12" s="19" t="str">
        <x:v>POR_ASIGNAR</x:v>
      </x:c>
    </x:row>
    <x:row r="13" ht="65" customHeight="1">
      <x:c r="A13" s="2" t="str">
        <x:v>TEST-008</x:v>
      </x:c>
      <x:c r="B13" s="2" t="n">
        <x:v>8</x:v>
      </x:c>
      <x:c r="C13" s="2" t="str">
        <x:v>Inés Robles</x:v>
      </x:c>
      <x:c r="D13" s="19" t="str">
        <x:v>Revisión del SHA exacto con hallazgos reproducibles</x:v>
      </x:c>
      <x:c r="E13" s="19" t="str">
        <x:v>Resultado reproducible y vinculado a requisito, candidato exacto, entorno, fecha y evidencia independiente.</x:v>
      </x:c>
      <x:c r="F13" s="19" t="str">
        <x:v>DISEÑADO_NO_EJECUTADO</x:v>
      </x:c>
      <x:c r="G13" s="19" t="str"/>
      <x:c r="H13" s="19" t="str"/>
      <x:c r="I13" s="19" t="str"/>
      <x:c r="J13" s="19" t="str">
        <x:v>POR_ASIGNAR</x:v>
      </x:c>
    </x:row>
    <x:row r="14" ht="65" customHeight="1">
      <x:c r="A14" s="16" t="str">
        <x:v>TEST-009</x:v>
      </x:c>
      <x:c r="B14" s="16" t="n">
        <x:v>9</x:v>
      </x:c>
      <x:c r="C14" s="16" t="str">
        <x:v>Valeria Ríos</x:v>
      </x:c>
      <x:c r="D14" s="19" t="str">
        <x:v>Modelo de amenazas con superficies y límites de confianza</x:v>
      </x:c>
      <x:c r="E14" s="19" t="str">
        <x:v>Resultado reproducible y vinculado a requisito, candidato exacto, entorno, fecha y evidencia independiente.</x:v>
      </x:c>
      <x:c r="F14" s="19" t="str">
        <x:v>DISEÑADO_NO_EJECUTADO</x:v>
      </x:c>
      <x:c r="G14" s="19" t="str"/>
      <x:c r="H14" s="19" t="str"/>
      <x:c r="I14" s="19" t="str"/>
      <x:c r="J14" s="19" t="str">
        <x:v>POR_ASIGNAR</x:v>
      </x:c>
    </x:row>
    <x:row r="15" ht="65" customHeight="1">
      <x:c r="A15" s="2" t="str">
        <x:v>TEST-010</x:v>
      </x:c>
      <x:c r="B15" s="2" t="n">
        <x:v>10</x:v>
      </x:c>
      <x:c r="C15" s="2" t="str">
        <x:v>Iván Olivares</x:v>
      </x:c>
      <x:c r="D15" s="19" t="str">
        <x:v>Manifiesto de evidencia con hash, SHA, entorno y timestamp</x:v>
      </x:c>
      <x:c r="E15" s="19" t="str">
        <x:v>Resultado reproducible y vinculado a requisito, candidato exacto, entorno, fecha y evidencia independiente.</x:v>
      </x:c>
      <x:c r="F15" s="19" t="str">
        <x:v>DISEÑADO_NO_EJECUTADO</x:v>
      </x:c>
      <x:c r="G15" s="19" t="str"/>
      <x:c r="H15" s="19" t="str"/>
      <x:c r="I15" s="19" t="str"/>
      <x:c r="J15" s="19" t="str">
        <x:v>POR_ASIGNAR</x:v>
      </x:c>
    </x:row>
    <x:row r="16" ht="65" customHeight="1">
      <x:c r="A16" s="16" t="str">
        <x:v>TEST-011</x:v>
      </x:c>
      <x:c r="B16" s="16" t="n">
        <x:v>11</x:v>
      </x:c>
      <x:c r="C16" s="16" t="str">
        <x:v>Andrés Leiva</x:v>
      </x:c>
      <x:c r="D16" s="19" t="str">
        <x:v>SLI/SLO y alertas accionables</x:v>
      </x:c>
      <x:c r="E16" s="19" t="str">
        <x:v>Resultado reproducible y vinculado a requisito, candidato exacto, entorno, fecha y evidencia independiente.</x:v>
      </x:c>
      <x:c r="F16" s="19" t="str">
        <x:v>DISEÑADO_NO_EJECUTADO</x:v>
      </x:c>
      <x:c r="G16" s="19" t="str"/>
      <x:c r="H16" s="19" t="str"/>
      <x:c r="I16" s="19" t="str"/>
      <x:c r="J16" s="19" t="str">
        <x:v>POR_ASIGNAR</x:v>
      </x:c>
    </x:row>
    <x:row r="17" ht="65" customHeight="1">
      <x:c r="A17" s="2" t="str">
        <x:v>TEST-012</x:v>
      </x:c>
      <x:c r="B17" s="2" t="n">
        <x:v>12</x:v>
      </x:c>
      <x:c r="C17" s="2" t="str">
        <x:v>Hugo Serrano</x:v>
      </x:c>
      <x:c r="D17" s="19" t="str">
        <x:v>Conciliación fuente → eventos → saldos → resultado</x:v>
      </x:c>
      <x:c r="E17" s="19" t="str">
        <x:v>Resultado reproducible y vinculado a requisito, candidato exacto, entorno, fecha y evidencia independiente.</x:v>
      </x:c>
      <x:c r="F17" s="19" t="str">
        <x:v>DISEÑADO_NO_EJECUTADO</x:v>
      </x:c>
      <x:c r="G17" s="19" t="str"/>
      <x:c r="H17" s="19" t="str"/>
      <x:c r="I17" s="19" t="str"/>
      <x:c r="J17" s="19" t="str">
        <x:v>POR_ASIGNAR</x:v>
      </x:c>
    </x:row>
    <x:row r="18" ht="65" customHeight="1">
      <x:c r="A18" s="16" t="str">
        <x:v>TEST-013</x:v>
      </x:c>
      <x:c r="B18" s="16" t="n">
        <x:v>13</x:v>
      </x:c>
      <x:c r="C18" s="16" t="str">
        <x:v>Sofía Montalvo</x:v>
      </x:c>
      <x:c r="D18" s="19" t="str">
        <x:v>Manifiesto de candidato con SHA, pruebas y autorización</x:v>
      </x:c>
      <x:c r="E18" s="19" t="str">
        <x:v>Resultado reproducible y vinculado a requisito, candidato exacto, entorno, fecha y evidencia independiente.</x:v>
      </x:c>
      <x:c r="F18" s="19" t="str">
        <x:v>DISEÑADO_NO_EJECUTADO</x:v>
      </x:c>
      <x:c r="G18" s="19" t="str"/>
      <x:c r="H18" s="19" t="str"/>
      <x:c r="I18" s="19" t="str"/>
      <x:c r="J18" s="19" t="str">
        <x:v>POR_ASIGNAR</x:v>
      </x:c>
    </x:row>
    <x:row r="19" ht="65" customHeight="1">
      <x:c r="A19" s="2" t="str">
        <x:v>TEST-014</x:v>
      </x:c>
      <x:c r="B19" s="2" t="n">
        <x:v>14</x:v>
      </x:c>
      <x:c r="C19" s="2" t="str">
        <x:v>Adriana Soler</x:v>
      </x:c>
      <x:c r="D19" s="19" t="str">
        <x:v>Schemas versionados e invariantes de persistencia</x:v>
      </x:c>
      <x:c r="E19" s="19" t="str">
        <x:v>Resultado reproducible y vinculado a requisito, candidato exacto, entorno, fecha y evidencia independiente.</x:v>
      </x:c>
      <x:c r="F19" s="19" t="str">
        <x:v>DISEÑADO_NO_EJECUTADO</x:v>
      </x:c>
      <x:c r="G19" s="19" t="str"/>
      <x:c r="H19" s="19" t="str"/>
      <x:c r="I19" s="19" t="str"/>
      <x:c r="J19" s="19" t="str">
        <x:v>POR_ASIGNAR</x:v>
      </x:c>
    </x:row>
    <x:row r="20" ht="65" customHeight="1">
      <x:c r="A20" s="16" t="str">
        <x:v>TEST-015</x:v>
      </x:c>
      <x:c r="B20" s="16" t="n">
        <x:v>15</x:v>
      </x:c>
      <x:c r="C20" s="16" t="str">
        <x:v>Tomás Aranda</x:v>
      </x:c>
      <x:c r="D20" s="19" t="str">
        <x:v>Matriz proveedor, capability, permiso y preflight</x:v>
      </x:c>
      <x:c r="E20" s="19" t="str">
        <x:v>Resultado reproducible y vinculado a requisito, candidato exacto, entorno, fecha y evidencia independiente.</x:v>
      </x:c>
      <x:c r="F20" s="19" t="str">
        <x:v>DISEÑADO_NO_EJECUTADO</x:v>
      </x:c>
      <x:c r="G20" s="19" t="str"/>
      <x:c r="H20" s="19" t="str"/>
      <x:c r="I20" s="19" t="str"/>
      <x:c r="J20" s="19" t="str">
        <x:v>POR_ASIGNAR</x:v>
      </x:c>
    </x:row>
    <x:row r="21" ht="65" customHeight="1">
      <x:c r="A21" s="2" t="str">
        <x:v>TEST-016</x:v>
      </x:c>
      <x:c r="B21" s="2" t="n">
        <x:v>16</x:v>
      </x:c>
      <x:c r="C21" s="2" t="str">
        <x:v>Diego Cárdenas</x:v>
      </x:c>
      <x:c r="D21" s="19" t="str">
        <x:v>Matriz de funciones, roles, callbacks y precondiciones</x:v>
      </x:c>
      <x:c r="E21" s="19" t="str">
        <x:v>Resultado reproducible y vinculado a requisito, candidato exacto, entorno, fecha y evidencia independiente.</x:v>
      </x:c>
      <x:c r="F21" s="19" t="str">
        <x:v>DISEÑADO_NO_EJECUTADO</x:v>
      </x:c>
      <x:c r="G21" s="19" t="str"/>
      <x:c r="H21" s="19" t="str"/>
      <x:c r="I21" s="19" t="str"/>
      <x:c r="J21" s="19" t="str">
        <x:v>POR_ASIGNAR</x:v>
      </x:c>
    </x:row>
    <x:row r="22" ht="65" customHeight="1">
      <x:c r="A22" s="16" t="str">
        <x:v>TEST-017</x:v>
      </x:c>
      <x:c r="B22" s="16" t="n">
        <x:v>17</x:v>
      </x:c>
      <x:c r="C22" s="16" t="str">
        <x:v>Clara Beltrán</x:v>
      </x:c>
      <x:c r="D22" s="19" t="str">
        <x:v>Especificación de fórmulas con unidades, supuestos y límites</x:v>
      </x:c>
      <x:c r="E22" s="19" t="str">
        <x:v>Resultado reproducible y vinculado a requisito, candidato exacto, entorno, fecha y evidencia independiente.</x:v>
      </x:c>
      <x:c r="F22" s="19" t="str">
        <x:v>DISEÑADO_NO_EJECUTADO</x:v>
      </x:c>
      <x:c r="G22" s="19" t="str"/>
      <x:c r="H22" s="19" t="str"/>
      <x:c r="I22" s="19" t="str"/>
      <x:c r="J22" s="19" t="str">
        <x:v>POR_ASIGNAR</x:v>
      </x:c>
    </x:row>
    <x:row r="23" ht="65" customHeight="1">
      <x:c r="A23" s="2" t="str">
        <x:v>TEST-018</x:v>
      </x:c>
      <x:c r="B23" s="2" t="n">
        <x:v>18</x:v>
      </x:c>
      <x:c r="C23" s="2" t="str">
        <x:v>Marina Duarte</x:v>
      </x:c>
      <x:c r="D23" s="19" t="str">
        <x:v>Modelo de grafo y reglas de actualización</x:v>
      </x:c>
      <x:c r="E23" s="19" t="str">
        <x:v>Resultado reproducible y vinculado a requisito, candidato exacto, entorno, fecha y evidencia independiente.</x:v>
      </x:c>
      <x:c r="F23" s="19" t="str">
        <x:v>DISEÑADO_NO_EJECUTADO</x:v>
      </x:c>
      <x:c r="G23" s="19" t="str"/>
      <x:c r="H23" s="19" t="str"/>
      <x:c r="I23" s="19" t="str"/>
      <x:c r="J23" s="19" t="str">
        <x:v>POR_ASIGNAR</x:v>
      </x:c>
    </x:row>
    <x:row r="24" ht="65" customHeight="1">
      <x:c r="A24" s="16" t="str">
        <x:v>TEST-019</x:v>
      </x:c>
      <x:c r="B24" s="16" t="n">
        <x:v>19</x:v>
      </x:c>
      <x:c r="C24" s="16" t="str">
        <x:v>Pablo Alarcón</x:v>
      </x:c>
      <x:c r="D24" s="19" t="str">
        <x:v>Escenarios con supuestos, origen y validez temporal</x:v>
      </x:c>
      <x:c r="E24" s="19" t="str">
        <x:v>Resultado reproducible y vinculado a requisito, candidato exacto, entorno, fecha y evidencia independiente.</x:v>
      </x:c>
      <x:c r="F24" s="19" t="str">
        <x:v>DISEÑADO_NO_EJECUTADO</x:v>
      </x:c>
      <x:c r="G24" s="19" t="str"/>
      <x:c r="H24" s="19" t="str"/>
      <x:c r="I24" s="19" t="str"/>
      <x:c r="J24" s="19" t="str">
        <x:v>POR_ASIGNAR</x:v>
      </x:c>
    </x:row>
    <x:row r="25" ht="65" customHeight="1">
      <x:c r="A25" s="2" t="str">
        <x:v>TEST-020</x:v>
      </x:c>
      <x:c r="B25" s="2" t="n">
        <x:v>20</x:v>
      </x:c>
      <x:c r="C25" s="2" t="str">
        <x:v>Bruno Calderón</x:v>
      </x:c>
      <x:c r="D25" s="19" t="str">
        <x:v>Harness con contextos, puertos y fixtures independientes</x:v>
      </x:c>
      <x:c r="E25" s="19" t="str">
        <x:v>Resultado reproducible y vinculado a requisito, candidato exacto, entorno, fecha y evidencia independiente.</x:v>
      </x:c>
      <x:c r="F25" s="19" t="str">
        <x:v>DISEÑADO_NO_EJECUTADO</x:v>
      </x:c>
      <x:c r="G25" s="19" t="str"/>
      <x:c r="H25" s="19" t="str"/>
      <x:c r="I25" s="19" t="str"/>
      <x:c r="J25" s="19" t="str">
        <x:v>POR_ASIGNAR</x:v>
      </x:c>
    </x:row>
    <x:row r="26" ht="65" customHeight="1">
      <x:c r="A26" s="16" t="str">
        <x:v>TEST-021</x:v>
      </x:c>
      <x:c r="B26" s="16" t="n">
        <x:v>21</x:v>
      </x:c>
      <x:c r="C26" s="16" t="str">
        <x:v>Natalia Sanz</x:v>
      </x:c>
      <x:c r="D26" s="19" t="str">
        <x:v>Matriz capacidad × modo × entorno con evidencia</x:v>
      </x:c>
      <x:c r="E26" s="19" t="str">
        <x:v>Resultado reproducible y vinculado a requisito, candidato exacto, entorno, fecha y evidencia independiente.</x:v>
      </x:c>
      <x:c r="F26" s="19" t="str">
        <x:v>DISEÑADO_NO_EJECUTADO</x:v>
      </x:c>
      <x:c r="G26" s="19" t="str"/>
      <x:c r="H26" s="19" t="str"/>
      <x:c r="I26" s="19" t="str"/>
      <x:c r="J26" s="19" t="str">
        <x:v>POR_ASIGNAR</x:v>
      </x:c>
    </x:row>
    <x:row r="27" ht="65" customHeight="1">
      <x:c r="A27" s="2" t="str">
        <x:v>TEST-022</x:v>
      </x:c>
      <x:c r="B27" s="2" t="n">
        <x:v>22</x:v>
      </x:c>
      <x:c r="C27" s="2" t="str">
        <x:v>Daniela Fuentes</x:v>
      </x:c>
      <x:c r="D27" s="19" t="str">
        <x:v>Eval set con casos positivos, adversariales y regresión</x:v>
      </x:c>
      <x:c r="E27" s="19" t="str">
        <x:v>Resultado reproducible y vinculado a requisito, candidato exacto, entorno, fecha y evidencia independiente.</x:v>
      </x:c>
      <x:c r="F27" s="19" t="str">
        <x:v>DISEÑADO_NO_EJECUTADO</x:v>
      </x:c>
      <x:c r="G27" s="19" t="str"/>
      <x:c r="H27" s="19" t="str"/>
      <x:c r="I27" s="19" t="str"/>
      <x:c r="J27" s="19" t="str">
        <x:v>POR_ASIGNAR</x:v>
      </x:c>
    </x:row>
    <x:row r="28" ht="65" customHeight="1">
      <x:c r="A28" s="16" t="str">
        <x:v>TEST-023</x:v>
      </x:c>
      <x:c r="B28" s="16" t="n">
        <x:v>23</x:v>
      </x:c>
      <x:c r="C28" s="16" t="str">
        <x:v>Julián Escobar</x:v>
      </x:c>
      <x:c r="D28" s="19" t="str">
        <x:v>Requisitos atómicos con ID y criterio verificable</x:v>
      </x:c>
      <x:c r="E28" s="19" t="str">
        <x:v>Resultado reproducible y vinculado a requisito, candidato exacto, entorno, fecha y evidencia independiente.</x:v>
      </x:c>
      <x:c r="F28" s="19" t="str">
        <x:v>DISEÑADO_NO_EJECUTADO</x:v>
      </x:c>
      <x:c r="G28" s="19" t="str"/>
      <x:c r="H28" s="19" t="str"/>
      <x:c r="I28" s="19" t="str"/>
      <x:c r="J28" s="19" t="str">
        <x:v>POR_ASIGNAR</x:v>
      </x:c>
    </x:row>
    <x:row r="29" ht="65" customHeight="1">
      <x:c r="A29" s="2" t="str">
        <x:v>TEST-024</x:v>
      </x:c>
      <x:c r="B29" s="2" t="n">
        <x:v>24</x:v>
      </x:c>
      <x:c r="C29" s="2" t="str">
        <x:v>Camila Navarro</x:v>
      </x:c>
      <x:c r="D29" s="19" t="str">
        <x:v>Modelo de carga con volumen, mezcla y percentiles</x:v>
      </x:c>
      <x:c r="E29" s="19" t="str">
        <x:v>Resultado reproducible y vinculado a requisito, candidato exacto, entorno, fecha y evidencia independiente.</x:v>
      </x:c>
      <x:c r="F29" s="19" t="str">
        <x:v>DISEÑADO_NO_EJECUTADO</x:v>
      </x:c>
      <x:c r="G29" s="19" t="str"/>
      <x:c r="H29" s="19" t="str"/>
      <x:c r="I29" s="19" t="str"/>
      <x:c r="J29" s="19" t="str">
        <x:v>POR_ASIGNAR</x:v>
      </x:c>
    </x:row>
    <x:row r="30" ht="65" customHeight="1">
      <x:c r="A30" s="16" t="str">
        <x:v>TEST-025</x:v>
      </x:c>
      <x:c r="B30" s="16" t="n">
        <x:v>25</x:v>
      </x:c>
      <x:c r="C30" s="16" t="str">
        <x:v>Celia Paredes</x:v>
      </x:c>
      <x:c r="D30" s="19" t="str">
        <x:v>Mapa de tareas de usuario</x:v>
      </x:c>
      <x:c r="E30" s="19" t="str">
        <x:v>Resultado reproducible y vinculado a requisito, candidato exacto, entorno, fecha y evidencia independiente.</x:v>
      </x:c>
      <x:c r="F30" s="19" t="str">
        <x:v>DISEÑADO_NO_EJECUTADO</x:v>
      </x:c>
      <x:c r="G30" s="19" t="str"/>
      <x:c r="H30" s="19" t="str"/>
      <x:c r="I30" s="19" t="str"/>
      <x:c r="J30" s="19" t="str">
        <x:v>POR_ASIGNAR</x:v>
      </x:c>
    </x:row>
    <x:row r="31" ht="65" customHeight="1">
      <x:c r="A31" s="2" t="str">
        <x:v>TEST-026</x:v>
      </x:c>
      <x:c r="B31" s="2" t="n">
        <x:v>26</x:v>
      </x:c>
      <x:c r="C31" s="2" t="str">
        <x:v>Adrián Lago</x:v>
      </x:c>
      <x:c r="D31" s="19" t="str">
        <x:v>Inventario de datos y propósito</x:v>
      </x:c>
      <x:c r="E31" s="19" t="str">
        <x:v>Resultado reproducible y vinculado a requisito, candidato exacto, entorno, fecha y evidencia independiente.</x:v>
      </x:c>
      <x:c r="F31" s="19" t="str">
        <x:v>DISEÑADO_NO_EJECUTADO</x:v>
      </x:c>
      <x:c r="G31" s="19" t="str"/>
      <x:c r="H31" s="19" t="str"/>
      <x:c r="I31" s="19" t="str"/>
      <x:c r="J31" s="19" t="str">
        <x:v>POR_ASIGNAR</x:v>
      </x:c>
    </x:row>
    <x:row r="32" ht="65" customHeight="1">
      <x:c r="A32" s="16" t="str">
        <x:v>TEST-027</x:v>
      </x:c>
      <x:c r="B32" s="16" t="n">
        <x:v>27</x:v>
      </x:c>
      <x:c r="C32" s="16" t="str">
        <x:v>Lara Cortés</x:v>
      </x:c>
      <x:c r="D32" s="19" t="str">
        <x:v>Build reproducible con versiones fijadas</x:v>
      </x:c>
      <x:c r="E32" s="19" t="str">
        <x:v>Resultado reproducible y vinculado a requisito, candidato exacto, entorno, fecha y evidencia independiente.</x:v>
      </x:c>
      <x:c r="F32" s="19" t="str">
        <x:v>DISEÑADO_NO_EJECUTADO</x:v>
      </x:c>
      <x:c r="G32" s="19" t="str"/>
      <x:c r="H32" s="19" t="str"/>
      <x:c r="I32" s="19" t="str"/>
      <x:c r="J32" s="19" t="str">
        <x:v>POR_ASIGNAR</x:v>
      </x:c>
    </x:row>
    <x:row r="33" ht="65" customHeight="1">
      <x:c r="A33" s="2" t="str">
        <x:v>TEST-028</x:v>
      </x:c>
      <x:c r="B33" s="2" t="n">
        <x:v>28</x:v>
      </x:c>
      <x:c r="C33" s="2" t="str">
        <x:v>Nora Medina</x:v>
      </x:c>
      <x:c r="D33" s="19" t="str">
        <x:v>Catálogo de fallos seguros</x:v>
      </x:c>
      <x:c r="E33" s="19" t="str">
        <x:v>Resultado reproducible y vinculado a requisito, candidato exacto, entorno, fecha y evidencia independiente.</x:v>
      </x:c>
      <x:c r="F33" s="19" t="str">
        <x:v>DISEÑADO_NO_EJECUTADO</x:v>
      </x:c>
      <x:c r="G33" s="19" t="str"/>
      <x:c r="H33" s="19" t="str"/>
      <x:c r="I33" s="19" t="str"/>
      <x:c r="J33" s="19" t="str">
        <x:v>POR_ASIGNAR</x:v>
      </x:c>
    </x:row>
    <x:row r="34" ht="65" customHeight="1">
      <x:c r="A34" s="16" t="str">
        <x:v>TEST-029</x:v>
      </x:c>
      <x:c r="B34" s="16" t="n">
        <x:v>29</x:v>
      </x:c>
      <x:c r="C34" s="16" t="str">
        <x:v>Emilio Ponce</x:v>
      </x:c>
      <x:c r="D34" s="19" t="str">
        <x:v>Guía de inicio validada</x:v>
      </x:c>
      <x:c r="E34" s="19" t="str">
        <x:v>Resultado reproducible y vinculado a requisito, candidato exacto, entorno, fecha y evidencia independiente.</x:v>
      </x:c>
      <x:c r="F34" s="19" t="str">
        <x:v>DISEÑADO_NO_EJECUTADO</x:v>
      </x:c>
      <x:c r="G34" s="19" t="str"/>
      <x:c r="H34" s="19" t="str"/>
      <x:c r="I34" s="19" t="str"/>
      <x:c r="J34" s="19" t="str">
        <x:v>POR_ASIGNAR</x:v>
      </x:c>
    </x:row>
    <x:row r="35" ht="65" customHeight="1">
      <x:c r="A35" s="2" t="str">
        <x:v>TEST-030</x:v>
      </x:c>
      <x:c r="B35" s="2" t="n">
        <x:v>30</x:v>
      </x:c>
      <x:c r="C35" s="2" t="str">
        <x:v>Álvaro Del Valle</x:v>
      </x:c>
      <x:c r="D35" s="19" t="str">
        <x:v>Corpus de evaluación versionado</x:v>
      </x:c>
      <x:c r="E35" s="19" t="str">
        <x:v>Resultado reproducible y vinculado a requisito, candidato exacto, entorno, fecha y evidencia independiente.</x:v>
      </x:c>
      <x:c r="F35" s="19" t="str">
        <x:v>DISEÑADO_NO_EJECUTADO</x:v>
      </x:c>
      <x:c r="G35" s="19" t="str"/>
      <x:c r="H35" s="19" t="str"/>
      <x:c r="I35" s="19" t="str"/>
      <x:c r="J35" s="19" t="str">
        <x:v>POR_ASIGNAR</x:v>
      </x:c>
    </x:row>
    <x:row r="36" ht="65" customHeight="1">
      <x:c r="A36" s="16" t="str">
        <x:v>TEST-031</x:v>
      </x:c>
      <x:c r="B36" s="16" t="n">
        <x:v>31</x:v>
      </x:c>
      <x:c r="C36" s="16" t="str">
        <x:v>León Arenas</x:v>
      </x:c>
      <x:c r="D36" s="19" t="str">
        <x:v>Modelo de coste con fuentes</x:v>
      </x:c>
      <x:c r="E36" s="19" t="str">
        <x:v>Resultado reproducible y vinculado a requisito, candidato exacto, entorno, fecha y evidencia independiente.</x:v>
      </x:c>
      <x:c r="F36" s="19" t="str">
        <x:v>DISEÑADO_NO_EJECUTADO</x:v>
      </x:c>
      <x:c r="G36" s="19" t="str"/>
      <x:c r="H36" s="19" t="str"/>
      <x:c r="I36" s="19" t="str"/>
      <x:c r="J36" s="19" t="str">
        <x:v>POR_ASIGNAR</x:v>
      </x:c>
    </x:row>
    <x:row r="37" ht="65" customHeight="1">
      <x:c r="A37" s="2" t="str">
        <x:v>TEST-032</x:v>
      </x:c>
      <x:c r="B37" s="2" t="n">
        <x:v>32</x:v>
      </x:c>
      <x:c r="C37" s="2" t="str">
        <x:v>Marta Cifuentes</x:v>
      </x:c>
      <x:c r="D37" s="19" t="str">
        <x:v>Matriz de dispositivos y orientaciones</x:v>
      </x:c>
      <x:c r="E37" s="19" t="str">
        <x:v>Resultado reproducible y vinculado a requisito, candidato exacto, entorno, fecha y evidencia independiente.</x:v>
      </x:c>
      <x:c r="F37" s="19" t="str">
        <x:v>DISEÑADO_NO_EJECUTADO</x:v>
      </x:c>
      <x:c r="G37" s="19" t="str"/>
      <x:c r="H37" s="19" t="str"/>
      <x:c r="I37" s="19" t="str"/>
      <x:c r="J37" s="19" t="str">
        <x:v>POR_ASIGNAR</x:v>
      </x:c>
    </x:row>
    <x:row r="38" ht="65" customHeight="1">
      <x:c r="A38" s="16"/>
      <x:c r="B38" s="16"/>
      <x:c r="C38" s="16"/>
      <x:c r="D38" s="19"/>
      <x:c r="E38" s="19"/>
      <x:c r="F38" s="19"/>
      <x:c r="G38" s="19"/>
      <x:c r="H38" s="19"/>
      <x:c r="I38" s="19"/>
      <x:c r="J38" s="19"/>
    </x:row>
    <x:row r="39" ht="65" customHeight="1">
      <x:c r="A39" s="2"/>
      <x:c r="B39" s="2"/>
      <x:c r="C39" s="2"/>
      <x:c r="D39" s="19"/>
      <x:c r="E39" s="19"/>
      <x:c r="F39" s="19"/>
      <x:c r="G39" s="19"/>
      <x:c r="H39" s="19"/>
      <x:c r="I39" s="19"/>
      <x:c r="J39" s="19"/>
    </x:row>
    <x:row r="40" ht="65" customHeight="1">
      <x:c r="A40" s="16"/>
      <x:c r="B40" s="16"/>
      <x:c r="C40" s="16"/>
      <x:c r="D40" s="19"/>
      <x:c r="E40" s="19"/>
      <x:c r="F40" s="19"/>
      <x:c r="G40" s="19"/>
      <x:c r="H40" s="19"/>
      <x:c r="I40" s="19"/>
      <x:c r="J40" s="19"/>
    </x:row>
    <x:row r="41" ht="65" customHeight="1">
      <x:c r="A41" s="2"/>
      <x:c r="B41" s="2"/>
      <x:c r="C41" s="2"/>
      <x:c r="D41" s="19"/>
      <x:c r="E41" s="19"/>
      <x:c r="F41" s="19"/>
      <x:c r="G41" s="19"/>
      <x:c r="H41" s="19"/>
      <x:c r="I41" s="19"/>
      <x:c r="J41" s="19"/>
    </x:row>
    <x:row r="42" ht="65" customHeight="1">
      <x:c r="A42" s="16"/>
      <x:c r="B42" s="16"/>
      <x:c r="C42" s="16"/>
      <x:c r="D42" s="19"/>
      <x:c r="E42" s="19"/>
      <x:c r="F42" s="19"/>
      <x:c r="G42" s="19"/>
      <x:c r="H42" s="19"/>
      <x:c r="I42" s="19"/>
      <x:c r="J42" s="19"/>
    </x:row>
    <x:row r="43" ht="65" customHeight="1">
      <x:c r="A43" s="2"/>
      <x:c r="B43" s="2"/>
      <x:c r="C43" s="2"/>
      <x:c r="D43" s="19"/>
      <x:c r="E43" s="19"/>
      <x:c r="F43" s="19"/>
      <x:c r="G43" s="19"/>
      <x:c r="H43" s="19"/>
      <x:c r="I43" s="19"/>
      <x:c r="J43" s="19"/>
    </x:row>
    <x:row r="44" ht="65" customHeight="1">
      <x:c r="A44" s="16"/>
      <x:c r="B44" s="16"/>
      <x:c r="C44" s="16"/>
      <x:c r="D44" s="19"/>
      <x:c r="E44" s="19"/>
      <x:c r="F44" s="19"/>
      <x:c r="G44" s="19"/>
      <x:c r="H44" s="19"/>
      <x:c r="I44" s="19"/>
      <x:c r="J44" s="19"/>
    </x:row>
    <x:row r="45" ht="65" customHeight="1">
      <x:c r="A45" s="2"/>
      <x:c r="B45" s="2"/>
      <x:c r="C45" s="2"/>
      <x:c r="D45" s="19"/>
      <x:c r="E45" s="19"/>
      <x:c r="F45" s="19"/>
      <x:c r="G45" s="19"/>
      <x:c r="H45" s="19"/>
      <x:c r="I45" s="19"/>
      <x:c r="J45" s="19"/>
    </x:row>
    <x:row r="46" ht="65" customHeight="1">
      <x:c r="A46" s="16"/>
      <x:c r="B46" s="16"/>
      <x:c r="C46" s="16"/>
      <x:c r="D46" s="19"/>
      <x:c r="E46" s="19"/>
      <x:c r="F46" s="19"/>
      <x:c r="G46" s="19"/>
      <x:c r="H46" s="19"/>
      <x:c r="I46" s="19"/>
      <x:c r="J46" s="19"/>
    </x:row>
    <x:row r="47" ht="65" customHeight="1">
      <x:c r="A47" s="2"/>
      <x:c r="B47" s="2"/>
      <x:c r="C47" s="2"/>
      <x:c r="D47" s="19"/>
      <x:c r="E47" s="19"/>
      <x:c r="F47" s="19"/>
      <x:c r="G47" s="19"/>
      <x:c r="H47" s="19"/>
      <x:c r="I47" s="19"/>
      <x:c r="J47" s="19"/>
    </x:row>
    <x:row r="48" ht="65" customHeight="1">
      <x:c r="A48" s="16"/>
      <x:c r="B48" s="16"/>
      <x:c r="C48" s="16"/>
      <x:c r="D48" s="19"/>
      <x:c r="E48" s="19"/>
      <x:c r="F48" s="19"/>
      <x:c r="G48" s="19"/>
      <x:c r="H48" s="19"/>
      <x:c r="I48" s="19"/>
      <x:c r="J48" s="19"/>
    </x:row>
    <x:row r="49" ht="65" customHeight="1">
      <x:c r="A49" s="2"/>
      <x:c r="B49" s="2"/>
      <x:c r="C49" s="2"/>
      <x:c r="D49" s="19"/>
      <x:c r="E49" s="19"/>
      <x:c r="F49" s="19"/>
      <x:c r="G49" s="19"/>
      <x:c r="H49" s="19"/>
      <x:c r="I49" s="19"/>
      <x:c r="J49" s="19"/>
    </x:row>
    <x:row r="50" ht="65" customHeight="1">
      <x:c r="A50" s="16"/>
      <x:c r="B50" s="16"/>
      <x:c r="C50" s="16"/>
      <x:c r="D50" s="19"/>
      <x:c r="E50" s="19"/>
      <x:c r="F50" s="19"/>
      <x:c r="G50" s="19"/>
      <x:c r="H50" s="19"/>
      <x:c r="I50" s="19"/>
      <x:c r="J50" s="19"/>
    </x:row>
    <x:row r="51" ht="65" customHeight="1">
      <x:c r="A51" s="2"/>
      <x:c r="B51" s="2"/>
      <x:c r="C51" s="2"/>
      <x:c r="D51" s="19"/>
      <x:c r="E51" s="19"/>
      <x:c r="F51" s="19"/>
      <x:c r="G51" s="19"/>
      <x:c r="H51" s="19"/>
      <x:c r="I51" s="19"/>
      <x:c r="J51" s="19"/>
    </x:row>
    <x:row r="52" ht="65" customHeight="1">
      <x:c r="A52" s="16"/>
      <x:c r="B52" s="16"/>
      <x:c r="C52" s="16"/>
      <x:c r="D52" s="19"/>
      <x:c r="E52" s="19"/>
      <x:c r="F52" s="19"/>
      <x:c r="G52" s="19"/>
      <x:c r="H52" s="19"/>
      <x:c r="I52" s="19"/>
      <x:c r="J52" s="19"/>
    </x:row>
    <x:row r="53" ht="65" customHeight="1">
      <x:c r="A53" s="2"/>
      <x:c r="B53" s="2"/>
      <x:c r="C53" s="2"/>
      <x:c r="D53" s="19"/>
      <x:c r="E53" s="19"/>
      <x:c r="F53" s="19"/>
      <x:c r="G53" s="19"/>
      <x:c r="H53" s="19"/>
      <x:c r="I53" s="19"/>
      <x:c r="J53" s="19"/>
    </x:row>
    <x:row r="54" ht="65" customHeight="1">
      <x:c r="A54" s="16"/>
      <x:c r="B54" s="16"/>
      <x:c r="C54" s="16"/>
      <x:c r="D54" s="19"/>
      <x:c r="E54" s="19"/>
      <x:c r="F54" s="19"/>
      <x:c r="G54" s="19"/>
      <x:c r="H54" s="19"/>
      <x:c r="I54" s="19"/>
      <x:c r="J54" s="19"/>
    </x:row>
    <x:row r="55" ht="65" customHeight="1">
      <x:c r="A55" s="2"/>
      <x:c r="B55" s="2"/>
      <x:c r="C55" s="2"/>
      <x:c r="D55" s="19"/>
      <x:c r="E55" s="19"/>
      <x:c r="F55" s="19"/>
      <x:c r="G55" s="19"/>
      <x:c r="H55" s="19"/>
      <x:c r="I55" s="19"/>
      <x:c r="J55" s="19"/>
    </x:row>
    <x:row r="56" ht="65" customHeight="1">
      <x:c r="A56" s="16"/>
      <x:c r="B56" s="16"/>
      <x:c r="C56" s="16"/>
      <x:c r="D56" s="19"/>
      <x:c r="E56" s="19"/>
      <x:c r="F56" s="19"/>
      <x:c r="G56" s="19"/>
      <x:c r="H56" s="19"/>
      <x:c r="I56" s="19"/>
      <x:c r="J56" s="19"/>
    </x:row>
    <x:row r="57" ht="65" customHeight="1">
      <x:c r="A57" s="2"/>
      <x:c r="B57" s="2"/>
      <x:c r="C57" s="2"/>
      <x:c r="D57" s="19"/>
      <x:c r="E57" s="19"/>
      <x:c r="F57" s="19"/>
      <x:c r="G57" s="19"/>
      <x:c r="H57" s="19"/>
      <x:c r="I57" s="19"/>
      <x:c r="J57" s="19"/>
    </x:row>
    <x:row r="58" ht="65" customHeight="1">
      <x:c r="A58" s="16"/>
      <x:c r="B58" s="16"/>
      <x:c r="C58" s="16"/>
      <x:c r="D58" s="19"/>
      <x:c r="E58" s="19"/>
      <x:c r="F58" s="19"/>
      <x:c r="G58" s="19"/>
      <x:c r="H58" s="19"/>
      <x:c r="I58" s="19"/>
      <x:c r="J58" s="19"/>
    </x:row>
    <x:row r="59" ht="65" customHeight="1">
      <x:c r="A59" s="2"/>
      <x:c r="B59" s="2"/>
      <x:c r="C59" s="2"/>
      <x:c r="D59" s="19"/>
      <x:c r="E59" s="19"/>
      <x:c r="F59" s="19"/>
      <x:c r="G59" s="19"/>
      <x:c r="H59" s="19"/>
      <x:c r="I59" s="19"/>
      <x:c r="J59" s="19"/>
    </x:row>
    <x:row r="60" ht="65" customHeight="1">
      <x:c r="A60" s="16"/>
      <x:c r="B60" s="16"/>
      <x:c r="C60" s="16"/>
      <x:c r="D60" s="19"/>
      <x:c r="E60" s="19"/>
      <x:c r="F60" s="19"/>
      <x:c r="G60" s="19"/>
      <x:c r="H60" s="19"/>
      <x:c r="I60" s="19"/>
      <x:c r="J60" s="19"/>
    </x:row>
    <x:row r="61" ht="65" customHeight="1">
      <x:c r="A61" s="2"/>
      <x:c r="B61" s="2"/>
      <x:c r="C61" s="2"/>
      <x:c r="D61" s="19"/>
      <x:c r="E61" s="19"/>
      <x:c r="F61" s="19"/>
      <x:c r="G61" s="19"/>
      <x:c r="H61" s="19"/>
      <x:c r="I61" s="19"/>
      <x:c r="J61" s="19"/>
    </x:row>
    <x:row r="62" ht="65" customHeight="1">
      <x:c r="A62" s="16"/>
      <x:c r="B62" s="16"/>
      <x:c r="C62" s="16"/>
      <x:c r="D62" s="19"/>
      <x:c r="E62" s="19"/>
      <x:c r="F62" s="19"/>
      <x:c r="G62" s="19"/>
      <x:c r="H62" s="19"/>
      <x:c r="I62" s="19"/>
      <x:c r="J62" s="19"/>
    </x:row>
    <x:row r="63" ht="65" customHeight="1">
      <x:c r="A63" s="2"/>
      <x:c r="B63" s="2"/>
      <x:c r="C63" s="2"/>
      <x:c r="D63" s="19"/>
      <x:c r="E63" s="19"/>
      <x:c r="F63" s="19"/>
      <x:c r="G63" s="19"/>
      <x:c r="H63" s="19"/>
      <x:c r="I63" s="19"/>
      <x:c r="J63" s="19"/>
    </x:row>
    <x:row r="64" ht="65" customHeight="1">
      <x:c r="A64" s="16"/>
      <x:c r="B64" s="16"/>
      <x:c r="C64" s="16"/>
      <x:c r="D64" s="19"/>
      <x:c r="E64" s="19"/>
      <x:c r="F64" s="19"/>
      <x:c r="G64" s="19"/>
      <x:c r="H64" s="19"/>
      <x:c r="I64" s="19"/>
      <x:c r="J64" s="19"/>
    </x:row>
    <x:row r="65" ht="65" customHeight="1">
      <x:c r="A65" s="2"/>
      <x:c r="B65" s="2"/>
      <x:c r="C65" s="2"/>
      <x:c r="D65" s="19"/>
      <x:c r="E65" s="19"/>
      <x:c r="F65" s="19"/>
      <x:c r="G65" s="19"/>
      <x:c r="H65" s="19"/>
      <x:c r="I65" s="19"/>
      <x:c r="J65" s="19"/>
    </x:row>
    <x:row r="66" ht="65" customHeight="1">
      <x:c r="A66" s="16"/>
      <x:c r="B66" s="16"/>
      <x:c r="C66" s="16"/>
      <x:c r="D66" s="19"/>
      <x:c r="E66" s="19"/>
      <x:c r="F66" s="19"/>
      <x:c r="G66" s="19"/>
      <x:c r="H66" s="19"/>
      <x:c r="I66" s="19"/>
      <x:c r="J66" s="19"/>
    </x:row>
    <x:row r="67" ht="65" customHeight="1">
      <x:c r="A67" s="2"/>
      <x:c r="B67" s="2"/>
      <x:c r="C67" s="2"/>
      <x:c r="D67" s="19"/>
      <x:c r="E67" s="19"/>
      <x:c r="F67" s="19"/>
      <x:c r="G67" s="19"/>
      <x:c r="H67" s="19"/>
      <x:c r="I67" s="19"/>
      <x:c r="J67" s="19"/>
    </x:row>
    <x:row r="68" ht="65" customHeight="1">
      <x:c r="A68" s="16"/>
      <x:c r="B68" s="16"/>
      <x:c r="C68" s="16"/>
      <x:c r="D68" s="19"/>
      <x:c r="E68" s="19"/>
      <x:c r="F68" s="19"/>
      <x:c r="G68" s="19"/>
      <x:c r="H68" s="19"/>
      <x:c r="I68" s="19"/>
      <x:c r="J68" s="19"/>
    </x:row>
    <x:row r="69" ht="65" customHeight="1">
      <x:c r="A69" s="2"/>
      <x:c r="B69" s="2"/>
      <x:c r="C69" s="2"/>
      <x:c r="D69" s="19"/>
      <x:c r="E69" s="19"/>
      <x:c r="F69" s="19"/>
      <x:c r="G69" s="19"/>
      <x:c r="H69" s="19"/>
      <x:c r="I69" s="19"/>
      <x:c r="J69" s="19"/>
    </x:row>
    <x:row r="70" ht="65" customHeight="1">
      <x:c r="A70" s="16"/>
      <x:c r="B70" s="16"/>
      <x:c r="C70" s="16"/>
      <x:c r="D70" s="19"/>
      <x:c r="E70" s="19"/>
      <x:c r="F70" s="19"/>
      <x:c r="G70" s="19"/>
      <x:c r="H70" s="19"/>
      <x:c r="I70" s="19"/>
      <x:c r="J70" s="19"/>
    </x:row>
    <x:row r="71" ht="65" customHeight="1">
      <x:c r="A71" s="2"/>
      <x:c r="B71" s="2"/>
      <x:c r="C71" s="2"/>
      <x:c r="D71" s="19"/>
      <x:c r="E71" s="19"/>
      <x:c r="F71" s="19"/>
      <x:c r="G71" s="19"/>
      <x:c r="H71" s="19"/>
      <x:c r="I71" s="19"/>
      <x:c r="J71" s="19"/>
    </x:row>
    <x:row r="72" ht="65" customHeight="1">
      <x:c r="A72" s="16"/>
      <x:c r="B72" s="16"/>
      <x:c r="C72" s="16"/>
      <x:c r="D72" s="19"/>
      <x:c r="E72" s="19"/>
      <x:c r="F72" s="19"/>
      <x:c r="G72" s="19"/>
      <x:c r="H72" s="19"/>
      <x:c r="I72" s="19"/>
      <x:c r="J72" s="19"/>
    </x:row>
    <x:row r="73" ht="65" customHeight="1">
      <x:c r="A73" s="2"/>
      <x:c r="B73" s="2"/>
      <x:c r="C73" s="2"/>
      <x:c r="D73" s="19"/>
      <x:c r="E73" s="19"/>
      <x:c r="F73" s="19"/>
      <x:c r="G73" s="19"/>
      <x:c r="H73" s="19"/>
      <x:c r="I73" s="19"/>
      <x:c r="J73" s="19"/>
    </x:row>
    <x:row r="74" ht="65" customHeight="1">
      <x:c r="A74" s="16"/>
      <x:c r="B74" s="16"/>
      <x:c r="C74" s="16"/>
      <x:c r="D74" s="19"/>
      <x:c r="E74" s="19"/>
      <x:c r="F74" s="19"/>
      <x:c r="G74" s="19"/>
      <x:c r="H74" s="19"/>
      <x:c r="I74" s="19"/>
      <x:c r="J74" s="19"/>
    </x:row>
    <x:row r="75" ht="65" customHeight="1">
      <x:c r="A75" s="2"/>
      <x:c r="B75" s="2"/>
      <x:c r="C75" s="2"/>
      <x:c r="D75" s="19"/>
      <x:c r="E75" s="19"/>
      <x:c r="F75" s="19"/>
      <x:c r="G75" s="19"/>
      <x:c r="H75" s="19"/>
      <x:c r="I75" s="19"/>
      <x:c r="J75" s="19"/>
    </x:row>
    <x:row r="76" ht="65" customHeight="1">
      <x:c r="A76" s="16"/>
      <x:c r="B76" s="16"/>
      <x:c r="C76" s="16"/>
      <x:c r="D76" s="19"/>
      <x:c r="E76" s="19"/>
      <x:c r="F76" s="19"/>
      <x:c r="G76" s="19"/>
      <x:c r="H76" s="19"/>
      <x:c r="I76" s="19"/>
      <x:c r="J76" s="19"/>
    </x:row>
    <x:row r="77" ht="65" customHeight="1">
      <x:c r="A77" s="2"/>
      <x:c r="B77" s="2"/>
      <x:c r="C77" s="2"/>
      <x:c r="D77" s="19"/>
      <x:c r="E77" s="19"/>
      <x:c r="F77" s="19"/>
      <x:c r="G77" s="19"/>
      <x:c r="H77" s="19"/>
      <x:c r="I77" s="19"/>
      <x:c r="J77" s="19"/>
    </x:row>
    <x:row r="78" ht="65" customHeight="1">
      <x:c r="A78" s="16"/>
      <x:c r="B78" s="16"/>
      <x:c r="C78" s="16"/>
      <x:c r="D78" s="19"/>
      <x:c r="E78" s="19"/>
      <x:c r="F78" s="19"/>
      <x:c r="G78" s="19"/>
      <x:c r="H78" s="19"/>
      <x:c r="I78" s="19"/>
      <x:c r="J78" s="19"/>
    </x:row>
    <x:row r="79" ht="65" customHeight="1">
      <x:c r="A79" s="2"/>
      <x:c r="B79" s="2"/>
      <x:c r="C79" s="2"/>
      <x:c r="D79" s="19"/>
      <x:c r="E79" s="19"/>
      <x:c r="F79" s="19"/>
      <x:c r="G79" s="19"/>
      <x:c r="H79" s="19"/>
      <x:c r="I79" s="19"/>
      <x:c r="J79" s="19"/>
    </x:row>
    <x:row r="80" ht="65" customHeight="1">
      <x:c r="A80" s="16"/>
      <x:c r="B80" s="16"/>
      <x:c r="C80" s="16"/>
      <x:c r="D80" s="19"/>
      <x:c r="E80" s="19"/>
      <x:c r="F80" s="19"/>
      <x:c r="G80" s="19"/>
      <x:c r="H80" s="19"/>
      <x:c r="I80" s="19"/>
      <x:c r="J80" s="19"/>
    </x:row>
    <x:row r="81" ht="65" customHeight="1">
      <x:c r="A81" s="2"/>
      <x:c r="B81" s="2"/>
      <x:c r="C81" s="2"/>
      <x:c r="D81" s="19"/>
      <x:c r="E81" s="19"/>
      <x:c r="F81" s="19"/>
      <x:c r="G81" s="19"/>
      <x:c r="H81" s="19"/>
      <x:c r="I81" s="19"/>
      <x:c r="J81" s="19"/>
    </x:row>
    <x:row r="82" ht="65" customHeight="1">
      <x:c r="A82" s="16"/>
      <x:c r="B82" s="16"/>
      <x:c r="C82" s="16"/>
      <x:c r="D82" s="19"/>
      <x:c r="E82" s="19"/>
      <x:c r="F82" s="19"/>
      <x:c r="G82" s="19"/>
      <x:c r="H82" s="19"/>
      <x:c r="I82" s="19"/>
      <x:c r="J82" s="19"/>
    </x:row>
    <x:row r="83" ht="65" customHeight="1">
      <x:c r="A83" s="2"/>
      <x:c r="B83" s="2"/>
      <x:c r="C83" s="2"/>
      <x:c r="D83" s="19"/>
      <x:c r="E83" s="19"/>
      <x:c r="F83" s="19"/>
      <x:c r="G83" s="19"/>
      <x:c r="H83" s="19"/>
      <x:c r="I83" s="19"/>
      <x:c r="J83" s="19"/>
    </x:row>
    <x:row r="84" ht="65" customHeight="1">
      <x:c r="A84" s="16"/>
      <x:c r="B84" s="16"/>
      <x:c r="C84" s="16"/>
      <x:c r="D84" s="19"/>
      <x:c r="E84" s="19"/>
      <x:c r="F84" s="19"/>
      <x:c r="G84" s="19"/>
      <x:c r="H84" s="19"/>
      <x:c r="I84" s="19"/>
      <x:c r="J84" s="19"/>
    </x:row>
    <x:row r="85" ht="65" customHeight="1">
      <x:c r="A85" s="2"/>
      <x:c r="B85" s="2"/>
      <x:c r="C85" s="2"/>
      <x:c r="D85" s="19"/>
      <x:c r="E85" s="19"/>
      <x:c r="F85" s="19"/>
      <x:c r="G85" s="19"/>
      <x:c r="H85" s="19"/>
      <x:c r="I85" s="19"/>
      <x:c r="J85" s="19"/>
    </x:row>
    <x:row r="86" ht="65" customHeight="1">
      <x:c r="A86" s="16"/>
      <x:c r="B86" s="16"/>
      <x:c r="C86" s="16"/>
      <x:c r="D86" s="19"/>
      <x:c r="E86" s="19"/>
      <x:c r="F86" s="19"/>
      <x:c r="G86" s="19"/>
      <x:c r="H86" s="19"/>
      <x:c r="I86" s="19"/>
      <x:c r="J86" s="19"/>
    </x:row>
    <x:row r="87" ht="65" customHeight="1">
      <x:c r="A87" s="2"/>
      <x:c r="B87" s="2"/>
      <x:c r="C87" s="2"/>
      <x:c r="D87" s="19"/>
      <x:c r="E87" s="19"/>
      <x:c r="F87" s="19"/>
      <x:c r="G87" s="19"/>
      <x:c r="H87" s="19"/>
      <x:c r="I87" s="19"/>
      <x:c r="J87" s="19"/>
    </x:row>
    <x:row r="88" ht="65" customHeight="1">
      <x:c r="A88" s="16"/>
      <x:c r="B88" s="16"/>
      <x:c r="C88" s="16"/>
      <x:c r="D88" s="19"/>
      <x:c r="E88" s="19"/>
      <x:c r="F88" s="19"/>
      <x:c r="G88" s="19"/>
      <x:c r="H88" s="19"/>
      <x:c r="I88" s="19"/>
      <x:c r="J88" s="19"/>
    </x:row>
    <x:row r="89" ht="65" customHeight="1">
      <x:c r="A89" s="2"/>
      <x:c r="B89" s="2"/>
      <x:c r="C89" s="2"/>
      <x:c r="D89" s="19"/>
      <x:c r="E89" s="19"/>
      <x:c r="F89" s="19"/>
      <x:c r="G89" s="19"/>
      <x:c r="H89" s="19"/>
      <x:c r="I89" s="19"/>
      <x:c r="J89" s="19"/>
    </x:row>
    <x:row r="90" ht="65" customHeight="1">
      <x:c r="A90" s="16"/>
      <x:c r="B90" s="16"/>
      <x:c r="C90" s="16"/>
      <x:c r="D90" s="19"/>
      <x:c r="E90" s="19"/>
      <x:c r="F90" s="19"/>
      <x:c r="G90" s="19"/>
      <x:c r="H90" s="19"/>
      <x:c r="I90" s="19"/>
      <x:c r="J90" s="19"/>
    </x:row>
    <x:row r="91" ht="65" customHeight="1">
      <x:c r="A91" s="2"/>
      <x:c r="B91" s="2"/>
      <x:c r="C91" s="2"/>
      <x:c r="D91" s="19"/>
      <x:c r="E91" s="19"/>
      <x:c r="F91" s="19"/>
      <x:c r="G91" s="19"/>
      <x:c r="H91" s="19"/>
      <x:c r="I91" s="19"/>
      <x:c r="J91" s="19"/>
    </x:row>
    <x:row r="92" ht="65" customHeight="1">
      <x:c r="A92" s="16"/>
      <x:c r="B92" s="16"/>
      <x:c r="C92" s="16"/>
      <x:c r="D92" s="19"/>
      <x:c r="E92" s="19"/>
      <x:c r="F92" s="19"/>
      <x:c r="G92" s="19"/>
      <x:c r="H92" s="19"/>
      <x:c r="I92" s="19"/>
      <x:c r="J92" s="19"/>
    </x:row>
    <x:row r="93" ht="65" customHeight="1">
      <x:c r="A93" s="2"/>
      <x:c r="B93" s="2"/>
      <x:c r="C93" s="2"/>
      <x:c r="D93" s="19"/>
      <x:c r="E93" s="19"/>
      <x:c r="F93" s="19"/>
      <x:c r="G93" s="19"/>
      <x:c r="H93" s="19"/>
      <x:c r="I93" s="19"/>
      <x:c r="J93" s="19"/>
    </x:row>
    <x:row r="94" ht="65" customHeight="1">
      <x:c r="A94" s="16"/>
      <x:c r="B94" s="16"/>
      <x:c r="C94" s="16"/>
      <x:c r="D94" s="19"/>
      <x:c r="E94" s="19"/>
      <x:c r="F94" s="19"/>
      <x:c r="G94" s="19"/>
      <x:c r="H94" s="19"/>
      <x:c r="I94" s="19"/>
      <x:c r="J94" s="19"/>
    </x:row>
    <x:row r="95" ht="65" customHeight="1">
      <x:c r="A95" s="2"/>
      <x:c r="B95" s="2"/>
      <x:c r="C95" s="2"/>
      <x:c r="D95" s="19"/>
      <x:c r="E95" s="19"/>
      <x:c r="F95" s="19"/>
      <x:c r="G95" s="19"/>
      <x:c r="H95" s="19"/>
      <x:c r="I95" s="19"/>
      <x:c r="J95" s="19"/>
    </x:row>
    <x:row r="96" ht="65" customHeight="1">
      <x:c r="A96" s="16"/>
      <x:c r="B96" s="16"/>
      <x:c r="C96" s="16"/>
      <x:c r="D96" s="19"/>
      <x:c r="E96" s="19"/>
      <x:c r="F96" s="19"/>
      <x:c r="G96" s="19"/>
      <x:c r="H96" s="19"/>
      <x:c r="I96" s="19"/>
      <x:c r="J96" s="19"/>
    </x:row>
    <x:row r="97" ht="65" customHeight="1">
      <x:c r="A97" s="2"/>
      <x:c r="B97" s="2"/>
      <x:c r="C97" s="2"/>
      <x:c r="D97" s="19"/>
      <x:c r="E97" s="19"/>
      <x:c r="F97" s="19"/>
      <x:c r="G97" s="19"/>
      <x:c r="H97" s="19"/>
      <x:c r="I97" s="19"/>
      <x:c r="J97" s="19"/>
    </x:row>
    <x:row r="98" ht="65" customHeight="1">
      <x:c r="A98" s="16"/>
      <x:c r="B98" s="16"/>
      <x:c r="C98" s="16"/>
      <x:c r="D98" s="19"/>
      <x:c r="E98" s="19"/>
      <x:c r="F98" s="19"/>
      <x:c r="G98" s="19"/>
      <x:c r="H98" s="19"/>
      <x:c r="I98" s="19"/>
      <x:c r="J98" s="19"/>
    </x:row>
    <x:row r="99" ht="65" customHeight="1">
      <x:c r="A99" s="2"/>
      <x:c r="B99" s="2"/>
      <x:c r="C99" s="2"/>
      <x:c r="D99" s="19"/>
      <x:c r="E99" s="19"/>
      <x:c r="F99" s="19"/>
      <x:c r="G99" s="19"/>
      <x:c r="H99" s="19"/>
      <x:c r="I99" s="19"/>
      <x:c r="J99" s="19"/>
    </x:row>
    <x:row r="100" ht="65" customHeight="1">
      <x:c r="A100" s="16"/>
      <x:c r="B100" s="16"/>
      <x:c r="C100" s="16"/>
      <x:c r="D100" s="19"/>
      <x:c r="E100" s="19"/>
      <x:c r="F100" s="19"/>
      <x:c r="G100" s="19"/>
      <x:c r="H100" s="19"/>
      <x:c r="I100" s="19"/>
      <x:c r="J100" s="19"/>
    </x:row>
    <x:row r="101" ht="65" customHeight="1">
      <x:c r="A101" s="2"/>
      <x:c r="B101" s="2"/>
      <x:c r="C101" s="2"/>
      <x:c r="D101" s="19"/>
      <x:c r="E101" s="19"/>
      <x:c r="F101" s="19"/>
      <x:c r="G101" s="19"/>
      <x:c r="H101" s="19"/>
      <x:c r="I101" s="19"/>
      <x:c r="J101" s="19"/>
    </x:row>
    <x:row r="102" ht="65" customHeight="1">
      <x:c r="A102" s="16"/>
      <x:c r="B102" s="16"/>
      <x:c r="C102" s="16"/>
      <x:c r="D102" s="19"/>
      <x:c r="E102" s="19"/>
      <x:c r="F102" s="19"/>
      <x:c r="G102" s="19"/>
      <x:c r="H102" s="19"/>
      <x:c r="I102" s="19"/>
      <x:c r="J102" s="19"/>
    </x:row>
    <x:row r="103" ht="65" customHeight="1">
      <x:c r="A103" s="2"/>
      <x:c r="B103" s="2"/>
      <x:c r="C103" s="2"/>
      <x:c r="D103" s="19"/>
      <x:c r="E103" s="19"/>
      <x:c r="F103" s="19"/>
      <x:c r="G103" s="19"/>
      <x:c r="H103" s="19"/>
      <x:c r="I103" s="19"/>
      <x:c r="J103" s="19"/>
    </x:row>
    <x:row r="104" ht="65" customHeight="1">
      <x:c r="A104" s="16"/>
      <x:c r="B104" s="16"/>
      <x:c r="C104" s="16"/>
      <x:c r="D104" s="19"/>
      <x:c r="E104" s="19"/>
      <x:c r="F104" s="19"/>
      <x:c r="G104" s="19"/>
      <x:c r="H104" s="19"/>
      <x:c r="I104" s="19"/>
      <x:c r="J104" s="19"/>
    </x:row>
    <x:row r="105" ht="65" customHeight="1">
      <x:c r="A105" s="2"/>
      <x:c r="B105" s="2"/>
      <x:c r="C105" s="2"/>
      <x:c r="D105" s="19"/>
      <x:c r="E105" s="19"/>
      <x:c r="F105" s="19"/>
      <x:c r="G105" s="19"/>
      <x:c r="H105" s="19"/>
      <x:c r="I105" s="19"/>
      <x:c r="J105" s="19"/>
    </x:row>
    <x:row r="106" ht="65" customHeight="1">
      <x:c r="A106" s="16"/>
      <x:c r="B106" s="16"/>
      <x:c r="C106" s="16"/>
      <x:c r="D106" s="19"/>
      <x:c r="E106" s="19"/>
      <x:c r="F106" s="19"/>
      <x:c r="G106" s="19"/>
      <x:c r="H106" s="19"/>
      <x:c r="I106" s="19"/>
      <x:c r="J106" s="19"/>
    </x:row>
    <x:row r="107" ht="65" customHeight="1">
      <x:c r="A107" s="2"/>
      <x:c r="B107" s="2"/>
      <x:c r="C107" s="2"/>
      <x:c r="D107" s="19"/>
      <x:c r="E107" s="19"/>
      <x:c r="F107" s="19"/>
      <x:c r="G107" s="19"/>
      <x:c r="H107" s="19"/>
      <x:c r="I107" s="19"/>
      <x:c r="J107" s="19"/>
    </x:row>
    <x:row r="108" ht="65" customHeight="1">
      <x:c r="A108" s="16"/>
      <x:c r="B108" s="16"/>
      <x:c r="C108" s="16"/>
      <x:c r="D108" s="19"/>
      <x:c r="E108" s="19"/>
      <x:c r="F108" s="19"/>
      <x:c r="G108" s="19"/>
      <x:c r="H108" s="19"/>
      <x:c r="I108" s="19"/>
      <x:c r="J108" s="19"/>
    </x:row>
    <x:row r="109" ht="65" customHeight="1">
      <x:c r="A109" s="2"/>
      <x:c r="B109" s="2"/>
      <x:c r="C109" s="2"/>
      <x:c r="D109" s="19"/>
      <x:c r="E109" s="19"/>
      <x:c r="F109" s="19"/>
      <x:c r="G109" s="19"/>
      <x:c r="H109" s="19"/>
      <x:c r="I109" s="19"/>
      <x:c r="J109" s="19"/>
    </x:row>
    <x:row r="110" ht="65" customHeight="1">
      <x:c r="A110" s="16"/>
      <x:c r="B110" s="16"/>
      <x:c r="C110" s="16"/>
      <x:c r="D110" s="19"/>
      <x:c r="E110" s="19"/>
      <x:c r="F110" s="19"/>
      <x:c r="G110" s="19"/>
      <x:c r="H110" s="19"/>
      <x:c r="I110" s="19"/>
      <x:c r="J110" s="19"/>
    </x:row>
    <x:row r="111" ht="65" customHeight="1">
      <x:c r="A111" s="2"/>
      <x:c r="B111" s="2"/>
      <x:c r="C111" s="2"/>
      <x:c r="D111" s="19"/>
      <x:c r="E111" s="19"/>
      <x:c r="F111" s="19"/>
      <x:c r="G111" s="19"/>
      <x:c r="H111" s="19"/>
      <x:c r="I111" s="19"/>
      <x:c r="J111" s="19"/>
    </x:row>
    <x:row r="112" ht="65" customHeight="1">
      <x:c r="A112" s="16"/>
      <x:c r="B112" s="16"/>
      <x:c r="C112" s="16"/>
      <x:c r="D112" s="19"/>
      <x:c r="E112" s="19"/>
      <x:c r="F112" s="19"/>
      <x:c r="G112" s="19"/>
      <x:c r="H112" s="19"/>
      <x:c r="I112" s="19"/>
      <x:c r="J112" s="19"/>
    </x:row>
    <x:row r="113" ht="65" customHeight="1">
      <x:c r="A113" s="2"/>
      <x:c r="B113" s="2"/>
      <x:c r="C113" s="2"/>
      <x:c r="D113" s="19"/>
      <x:c r="E113" s="19"/>
      <x:c r="F113" s="19"/>
      <x:c r="G113" s="19"/>
      <x:c r="H113" s="19"/>
      <x:c r="I113" s="19"/>
      <x:c r="J113" s="19"/>
    </x:row>
    <x:row r="114" ht="65" customHeight="1">
      <x:c r="A114" s="16"/>
      <x:c r="B114" s="16"/>
      <x:c r="C114" s="16"/>
      <x:c r="D114" s="19"/>
      <x:c r="E114" s="19"/>
      <x:c r="F114" s="19"/>
      <x:c r="G114" s="19"/>
      <x:c r="H114" s="19"/>
      <x:c r="I114" s="19"/>
      <x:c r="J114" s="19"/>
    </x:row>
    <x:row r="115" ht="65" customHeight="1">
      <x:c r="A115" s="2"/>
      <x:c r="B115" s="2"/>
      <x:c r="C115" s="2"/>
      <x:c r="D115" s="19"/>
      <x:c r="E115" s="19"/>
      <x:c r="F115" s="19"/>
      <x:c r="G115" s="19"/>
      <x:c r="H115" s="19"/>
      <x:c r="I115" s="19"/>
      <x:c r="J115" s="19"/>
    </x:row>
    <x:row r="116" ht="65" customHeight="1">
      <x:c r="A116" s="16"/>
      <x:c r="B116" s="16"/>
      <x:c r="C116" s="16"/>
      <x:c r="D116" s="19"/>
      <x:c r="E116" s="19"/>
      <x:c r="F116" s="19"/>
      <x:c r="G116" s="19"/>
      <x:c r="H116" s="19"/>
      <x:c r="I116" s="19"/>
      <x:c r="J116" s="19"/>
    </x:row>
    <x:row r="117" ht="65" customHeight="1">
      <x:c r="A117" s="2"/>
      <x:c r="B117" s="2"/>
      <x:c r="C117" s="2"/>
      <x:c r="D117" s="19"/>
      <x:c r="E117" s="19"/>
      <x:c r="F117" s="19"/>
      <x:c r="G117" s="19"/>
      <x:c r="H117" s="19"/>
      <x:c r="I117" s="19"/>
      <x:c r="J117" s="19"/>
    </x:row>
    <x:row r="118" ht="65" customHeight="1">
      <x:c r="A118" s="16"/>
      <x:c r="B118" s="16"/>
      <x:c r="C118" s="16"/>
      <x:c r="D118" s="19"/>
      <x:c r="E118" s="19"/>
      <x:c r="F118" s="19"/>
      <x:c r="G118" s="19"/>
      <x:c r="H118" s="19"/>
      <x:c r="I118" s="19"/>
      <x:c r="J118" s="19"/>
    </x:row>
    <x:row r="119" ht="65" customHeight="1">
      <x:c r="A119" s="2"/>
      <x:c r="B119" s="2"/>
      <x:c r="C119" s="2"/>
      <x:c r="D119" s="19"/>
      <x:c r="E119" s="19"/>
      <x:c r="F119" s="19"/>
      <x:c r="G119" s="19"/>
      <x:c r="H119" s="19"/>
      <x:c r="I119" s="19"/>
      <x:c r="J119" s="19"/>
    </x:row>
    <x:row r="120" ht="65" customHeight="1">
      <x:c r="A120" s="16"/>
      <x:c r="B120" s="16"/>
      <x:c r="C120" s="16"/>
      <x:c r="D120" s="19"/>
      <x:c r="E120" s="19"/>
      <x:c r="F120" s="19"/>
      <x:c r="G120" s="19"/>
      <x:c r="H120" s="19"/>
      <x:c r="I120" s="19"/>
      <x:c r="J120" s="19"/>
    </x:row>
    <x:row r="121" ht="65" customHeight="1">
      <x:c r="A121" s="2"/>
      <x:c r="B121" s="2"/>
      <x:c r="C121" s="2"/>
      <x:c r="D121" s="19"/>
      <x:c r="E121" s="19"/>
      <x:c r="F121" s="19"/>
      <x:c r="G121" s="19"/>
      <x:c r="H121" s="19"/>
      <x:c r="I121" s="19"/>
      <x:c r="J121" s="19"/>
    </x:row>
    <x:row r="122" ht="65" customHeight="1">
      <x:c r="A122" s="16"/>
      <x:c r="B122" s="16"/>
      <x:c r="C122" s="16"/>
      <x:c r="D122" s="19"/>
      <x:c r="E122" s="19"/>
      <x:c r="F122" s="19"/>
      <x:c r="G122" s="19"/>
      <x:c r="H122" s="19"/>
      <x:c r="I122" s="19"/>
      <x:c r="J122" s="19"/>
    </x:row>
    <x:row r="123" ht="65" customHeight="1">
      <x:c r="A123" s="2"/>
      <x:c r="B123" s="2"/>
      <x:c r="C123" s="2"/>
      <x:c r="D123" s="19"/>
      <x:c r="E123" s="19"/>
      <x:c r="F123" s="19"/>
      <x:c r="G123" s="19"/>
      <x:c r="H123" s="19"/>
      <x:c r="I123" s="19"/>
      <x:c r="J123" s="19"/>
    </x:row>
    <x:row r="124" ht="65" customHeight="1">
      <x:c r="A124" s="16"/>
      <x:c r="B124" s="16"/>
      <x:c r="C124" s="16"/>
      <x:c r="D124" s="19"/>
      <x:c r="E124" s="19"/>
      <x:c r="F124" s="19"/>
      <x:c r="G124" s="19"/>
      <x:c r="H124" s="19"/>
      <x:c r="I124" s="19"/>
      <x:c r="J124" s="19"/>
    </x:row>
    <x:row r="125" ht="65" customHeight="1">
      <x:c r="A125" s="2"/>
      <x:c r="B125" s="2"/>
      <x:c r="C125" s="2"/>
      <x:c r="D125" s="19"/>
      <x:c r="E125" s="19"/>
      <x:c r="F125" s="19"/>
      <x:c r="G125" s="19"/>
      <x:c r="H125" s="19"/>
      <x:c r="I125" s="19"/>
      <x:c r="J125" s="19"/>
    </x:row>
    <x:row r="126" ht="65" customHeight="1">
      <x:c r="A126" s="16"/>
      <x:c r="B126" s="16"/>
      <x:c r="C126" s="16"/>
      <x:c r="D126" s="19"/>
      <x:c r="E126" s="19"/>
      <x:c r="F126" s="19"/>
      <x:c r="G126" s="19"/>
      <x:c r="H126" s="19"/>
      <x:c r="I126" s="19"/>
      <x:c r="J126" s="19"/>
    </x:row>
    <x:row r="127" ht="65" customHeight="1">
      <x:c r="A127" s="2"/>
      <x:c r="B127" s="2"/>
      <x:c r="C127" s="2"/>
      <x:c r="D127" s="19"/>
      <x:c r="E127" s="19"/>
      <x:c r="F127" s="19"/>
      <x:c r="G127" s="19"/>
      <x:c r="H127" s="19"/>
      <x:c r="I127" s="19"/>
      <x:c r="J127" s="19"/>
    </x:row>
    <x:row r="128" ht="65" customHeight="1">
      <x:c r="A128" s="16"/>
      <x:c r="B128" s="16"/>
      <x:c r="C128" s="16"/>
      <x:c r="D128" s="19"/>
      <x:c r="E128" s="19"/>
      <x:c r="F128" s="19"/>
      <x:c r="G128" s="19"/>
      <x:c r="H128" s="19"/>
      <x:c r="I128" s="19"/>
      <x:c r="J128" s="19"/>
    </x:row>
    <x:row r="129" ht="65" customHeight="1">
      <x:c r="A129" s="2"/>
      <x:c r="B129" s="2"/>
      <x:c r="C129" s="2"/>
      <x:c r="D129" s="19"/>
      <x:c r="E129" s="19"/>
      <x:c r="F129" s="19"/>
      <x:c r="G129" s="19"/>
      <x:c r="H129" s="19"/>
      <x:c r="I129" s="19"/>
      <x:c r="J129" s="19"/>
    </x:row>
    <x:row r="130" ht="65" customHeight="1">
      <x:c r="A130" s="16"/>
      <x:c r="B130" s="16"/>
      <x:c r="C130" s="16"/>
      <x:c r="D130" s="19"/>
      <x:c r="E130" s="19"/>
      <x:c r="F130" s="19"/>
      <x:c r="G130" s="19"/>
      <x:c r="H130" s="19"/>
      <x:c r="I130" s="19"/>
      <x:c r="J130" s="19"/>
    </x:row>
    <x:row r="131" ht="65" customHeight="1">
      <x:c r="A131" s="2"/>
      <x:c r="B131" s="2"/>
      <x:c r="C131" s="2"/>
      <x:c r="D131" s="19"/>
      <x:c r="E131" s="19"/>
      <x:c r="F131" s="19"/>
      <x:c r="G131" s="19"/>
      <x:c r="H131" s="19"/>
      <x:c r="I131" s="19"/>
      <x:c r="J131" s="19"/>
    </x:row>
    <x:row r="132" ht="65" customHeight="1">
      <x:c r="A132" s="16"/>
      <x:c r="B132" s="16"/>
      <x:c r="C132" s="16"/>
      <x:c r="D132" s="19"/>
      <x:c r="E132" s="19"/>
      <x:c r="F132" s="19"/>
      <x:c r="G132" s="19"/>
      <x:c r="H132" s="19"/>
      <x:c r="I132" s="19"/>
      <x:c r="J132" s="19"/>
    </x:row>
    <x:row r="133" ht="65" customHeight="1">
      <x:c r="A133" s="2"/>
      <x:c r="B133" s="2"/>
      <x:c r="C133" s="2"/>
      <x:c r="D133" s="19"/>
      <x:c r="E133" s="19"/>
      <x:c r="F133" s="19"/>
      <x:c r="G133" s="19"/>
      <x:c r="H133" s="19"/>
      <x:c r="I133" s="19"/>
      <x:c r="J133" s="19"/>
    </x:row>
    <x:row r="134" ht="65" customHeight="1">
      <x:c r="A134" s="16"/>
      <x:c r="B134" s="16"/>
      <x:c r="C134" s="16"/>
      <x:c r="D134" s="19"/>
      <x:c r="E134" s="19"/>
      <x:c r="F134" s="19"/>
      <x:c r="G134" s="19"/>
      <x:c r="H134" s="19"/>
      <x:c r="I134" s="19"/>
      <x:c r="J134" s="19"/>
    </x:row>
    <x:row r="135" ht="65" customHeight="1">
      <x:c r="A135" s="2"/>
      <x:c r="B135" s="2"/>
      <x:c r="C135" s="2"/>
      <x:c r="D135" s="19"/>
      <x:c r="E135" s="19"/>
      <x:c r="F135" s="19"/>
      <x:c r="G135" s="19"/>
      <x:c r="H135" s="19"/>
      <x:c r="I135" s="19"/>
      <x:c r="J135" s="19"/>
    </x:row>
    <x:row r="136" ht="65" customHeight="1">
      <x:c r="A136" s="16"/>
      <x:c r="B136" s="16"/>
      <x:c r="C136" s="16"/>
      <x:c r="D136" s="19"/>
      <x:c r="E136" s="19"/>
      <x:c r="F136" s="19"/>
      <x:c r="G136" s="19"/>
      <x:c r="H136" s="19"/>
      <x:c r="I136" s="19"/>
      <x:c r="J136" s="19"/>
    </x:row>
    <x:row r="137" ht="65" customHeight="1">
      <x:c r="A137" s="2"/>
      <x:c r="B137" s="2"/>
      <x:c r="C137" s="2"/>
      <x:c r="D137" s="19"/>
      <x:c r="E137" s="19"/>
      <x:c r="F137" s="19"/>
      <x:c r="G137" s="19"/>
      <x:c r="H137" s="19"/>
      <x:c r="I137" s="19"/>
      <x:c r="J137" s="19"/>
    </x:row>
    <x:row r="138" ht="65" customHeight="1">
      <x:c r="A138" s="16"/>
      <x:c r="B138" s="16"/>
      <x:c r="C138" s="16"/>
      <x:c r="D138" s="19"/>
      <x:c r="E138" s="19"/>
      <x:c r="F138" s="19"/>
      <x:c r="G138" s="19"/>
      <x:c r="H138" s="19"/>
      <x:c r="I138" s="19"/>
      <x:c r="J138" s="19"/>
    </x:row>
    <x:row r="139" ht="65" customHeight="1">
      <x:c r="A139" s="2"/>
      <x:c r="B139" s="2"/>
      <x:c r="C139" s="2"/>
      <x:c r="D139" s="19"/>
      <x:c r="E139" s="19"/>
      <x:c r="F139" s="19"/>
      <x:c r="G139" s="19"/>
      <x:c r="H139" s="19"/>
      <x:c r="I139" s="19"/>
      <x:c r="J139" s="19"/>
    </x:row>
    <x:row r="140" ht="65" customHeight="1">
      <x:c r="A140" s="16"/>
      <x:c r="B140" s="16"/>
      <x:c r="C140" s="16"/>
      <x:c r="D140" s="19"/>
      <x:c r="E140" s="19"/>
      <x:c r="F140" s="19"/>
      <x:c r="G140" s="19"/>
      <x:c r="H140" s="19"/>
      <x:c r="I140" s="19"/>
      <x:c r="J140" s="19"/>
    </x:row>
    <x:row r="141" ht="65" customHeight="1">
      <x:c r="A141" s="2"/>
      <x:c r="B141" s="2"/>
      <x:c r="C141" s="2"/>
      <x:c r="D141" s="19"/>
      <x:c r="E141" s="19"/>
      <x:c r="F141" s="19"/>
      <x:c r="G141" s="19"/>
      <x:c r="H141" s="19"/>
      <x:c r="I141" s="19"/>
      <x:c r="J141" s="19"/>
    </x:row>
    <x:row r="142" ht="65" customHeight="1">
      <x:c r="A142" s="16"/>
      <x:c r="B142" s="16"/>
      <x:c r="C142" s="16"/>
      <x:c r="D142" s="19"/>
      <x:c r="E142" s="19"/>
      <x:c r="F142" s="19"/>
      <x:c r="G142" s="19"/>
      <x:c r="H142" s="19"/>
      <x:c r="I142" s="19"/>
      <x:c r="J142" s="19"/>
    </x:row>
    <x:row r="143" ht="65" customHeight="1">
      <x:c r="A143" s="2"/>
      <x:c r="B143" s="2"/>
      <x:c r="C143" s="2"/>
      <x:c r="D143" s="19"/>
      <x:c r="E143" s="19"/>
      <x:c r="F143" s="19"/>
      <x:c r="G143" s="19"/>
      <x:c r="H143" s="19"/>
      <x:c r="I143" s="19"/>
      <x:c r="J143" s="19"/>
    </x:row>
    <x:row r="144" ht="65" customHeight="1">
      <x:c r="A144" s="16"/>
      <x:c r="B144" s="16"/>
      <x:c r="C144" s="16"/>
      <x:c r="D144" s="19"/>
      <x:c r="E144" s="19"/>
      <x:c r="F144" s="19"/>
      <x:c r="G144" s="19"/>
      <x:c r="H144" s="19"/>
      <x:c r="I144" s="19"/>
      <x:c r="J144" s="19"/>
    </x:row>
    <x:row r="145" ht="65" customHeight="1">
      <x:c r="A145" s="2"/>
      <x:c r="B145" s="2"/>
      <x:c r="C145" s="2"/>
      <x:c r="D145" s="19"/>
      <x:c r="E145" s="19"/>
      <x:c r="F145" s="19"/>
      <x:c r="G145" s="19"/>
      <x:c r="H145" s="19"/>
      <x:c r="I145" s="19"/>
      <x:c r="J145" s="19"/>
    </x:row>
    <x:row r="146" ht="65" customHeight="1">
      <x:c r="A146" s="16"/>
      <x:c r="B146" s="16"/>
      <x:c r="C146" s="16"/>
      <x:c r="D146" s="19"/>
      <x:c r="E146" s="19"/>
      <x:c r="F146" s="19"/>
      <x:c r="G146" s="19"/>
      <x:c r="H146" s="19"/>
      <x:c r="I146" s="19"/>
      <x:c r="J146" s="19"/>
    </x:row>
    <x:row r="147" ht="65" customHeight="1">
      <x:c r="A147" s="2"/>
      <x:c r="B147" s="2"/>
      <x:c r="C147" s="2"/>
      <x:c r="D147" s="19"/>
      <x:c r="E147" s="19"/>
      <x:c r="F147" s="19"/>
      <x:c r="G147" s="19"/>
      <x:c r="H147" s="19"/>
      <x:c r="I147" s="19"/>
      <x:c r="J147" s="19"/>
    </x:row>
    <x:row r="148" ht="65" customHeight="1">
      <x:c r="A148" s="16"/>
      <x:c r="B148" s="16"/>
      <x:c r="C148" s="16"/>
      <x:c r="D148" s="19"/>
      <x:c r="E148" s="19"/>
      <x:c r="F148" s="19"/>
      <x:c r="G148" s="19"/>
      <x:c r="H148" s="19"/>
      <x:c r="I148" s="19"/>
      <x:c r="J148" s="19"/>
    </x:row>
    <x:row r="149" ht="65" customHeight="1">
      <x:c r="A149" s="2"/>
      <x:c r="B149" s="2"/>
      <x:c r="C149" s="2"/>
      <x:c r="D149" s="19"/>
      <x:c r="E149" s="19"/>
      <x:c r="F149" s="19"/>
      <x:c r="G149" s="19"/>
      <x:c r="H149" s="19"/>
      <x:c r="I149" s="19"/>
      <x:c r="J149" s="19"/>
    </x:row>
    <x:row r="150" ht="65" customHeight="1">
      <x:c r="A150" s="16"/>
      <x:c r="B150" s="16"/>
      <x:c r="C150" s="16"/>
      <x:c r="D150" s="19"/>
      <x:c r="E150" s="19"/>
      <x:c r="F150" s="19"/>
      <x:c r="G150" s="19"/>
      <x:c r="H150" s="19"/>
      <x:c r="I150" s="19"/>
      <x:c r="J150" s="19"/>
    </x:row>
    <x:row r="151" ht="65" customHeight="1">
      <x:c r="A151" s="2"/>
      <x:c r="B151" s="2"/>
      <x:c r="C151" s="2"/>
      <x:c r="D151" s="19"/>
      <x:c r="E151" s="19"/>
      <x:c r="F151" s="19"/>
      <x:c r="G151" s="19"/>
      <x:c r="H151" s="19"/>
      <x:c r="I151" s="19"/>
      <x:c r="J151" s="19"/>
    </x:row>
    <x:row r="152" ht="65" customHeight="1">
      <x:c r="A152" s="16"/>
      <x:c r="B152" s="16"/>
      <x:c r="C152" s="16"/>
      <x:c r="D152" s="19"/>
      <x:c r="E152" s="19"/>
      <x:c r="F152" s="19"/>
      <x:c r="G152" s="19"/>
      <x:c r="H152" s="19"/>
      <x:c r="I152" s="19"/>
      <x:c r="J152" s="19"/>
    </x:row>
    <x:row r="153" ht="65" customHeight="1">
      <x:c r="A153" s="2"/>
      <x:c r="B153" s="2"/>
      <x:c r="C153" s="2"/>
      <x:c r="D153" s="19"/>
      <x:c r="E153" s="19"/>
      <x:c r="F153" s="19"/>
      <x:c r="G153" s="19"/>
      <x:c r="H153" s="19"/>
      <x:c r="I153" s="19"/>
      <x:c r="J153" s="19"/>
    </x:row>
    <x:row r="154" ht="65" customHeight="1">
      <x:c r="A154" s="16"/>
      <x:c r="B154" s="16"/>
      <x:c r="C154" s="16"/>
      <x:c r="D154" s="19"/>
      <x:c r="E154" s="19"/>
      <x:c r="F154" s="19"/>
      <x:c r="G154" s="19"/>
      <x:c r="H154" s="19"/>
      <x:c r="I154" s="19"/>
      <x:c r="J154" s="19"/>
    </x:row>
    <x:row r="155" ht="65" customHeight="1">
      <x:c r="A155" s="2"/>
      <x:c r="B155" s="2"/>
      <x:c r="C155" s="2"/>
      <x:c r="D155" s="19"/>
      <x:c r="E155" s="19"/>
      <x:c r="F155" s="19"/>
      <x:c r="G155" s="19"/>
      <x:c r="H155" s="19"/>
      <x:c r="I155" s="19"/>
      <x:c r="J155" s="19"/>
    </x:row>
    <x:row r="156" ht="65" customHeight="1">
      <x:c r="A156" s="16"/>
      <x:c r="B156" s="16"/>
      <x:c r="C156" s="16"/>
      <x:c r="D156" s="19"/>
      <x:c r="E156" s="19"/>
      <x:c r="F156" s="19"/>
      <x:c r="G156" s="19"/>
      <x:c r="H156" s="19"/>
      <x:c r="I156" s="19"/>
      <x:c r="J156" s="19"/>
    </x:row>
    <x:row r="157" ht="65" customHeight="1">
      <x:c r="A157" s="2"/>
      <x:c r="B157" s="2"/>
      <x:c r="C157" s="2"/>
      <x:c r="D157" s="19"/>
      <x:c r="E157" s="19"/>
      <x:c r="F157" s="19"/>
      <x:c r="G157" s="19"/>
      <x:c r="H157" s="19"/>
      <x:c r="I157" s="19"/>
      <x:c r="J157" s="19"/>
    </x:row>
    <x:row r="158" ht="65" customHeight="1">
      <x:c r="A158" s="16"/>
      <x:c r="B158" s="16"/>
      <x:c r="C158" s="16"/>
      <x:c r="D158" s="19"/>
      <x:c r="E158" s="19"/>
      <x:c r="F158" s="19"/>
      <x:c r="G158" s="19"/>
      <x:c r="H158" s="19"/>
      <x:c r="I158" s="19"/>
      <x:c r="J158" s="19"/>
    </x:row>
    <x:row r="159" ht="65" customHeight="1">
      <x:c r="A159" s="2"/>
      <x:c r="B159" s="2"/>
      <x:c r="C159" s="2"/>
      <x:c r="D159" s="19"/>
      <x:c r="E159" s="19"/>
      <x:c r="F159" s="19"/>
      <x:c r="G159" s="19"/>
      <x:c r="H159" s="19"/>
      <x:c r="I159" s="19"/>
      <x:c r="J159" s="19"/>
    </x:row>
    <x:row r="160" ht="65" customHeight="1">
      <x:c r="A160" s="16"/>
      <x:c r="B160" s="16"/>
      <x:c r="C160" s="16"/>
      <x:c r="D160" s="19"/>
      <x:c r="E160" s="19"/>
      <x:c r="F160" s="19"/>
      <x:c r="G160" s="19"/>
      <x:c r="H160" s="19"/>
      <x:c r="I160" s="19"/>
      <x:c r="J160" s="19"/>
    </x:row>
    <x:row r="161" ht="65" customHeight="1">
      <x:c r="A161" s="2"/>
      <x:c r="B161" s="2"/>
      <x:c r="C161" s="2"/>
      <x:c r="D161" s="19"/>
      <x:c r="E161" s="19"/>
      <x:c r="F161" s="19"/>
      <x:c r="G161" s="19"/>
      <x:c r="H161" s="19"/>
      <x:c r="I161" s="19"/>
      <x:c r="J161" s="19"/>
    </x:row>
    <x:row r="162" ht="65" customHeight="1">
      <x:c r="A162" s="16"/>
      <x:c r="B162" s="16"/>
      <x:c r="C162" s="16"/>
      <x:c r="D162" s="19"/>
      <x:c r="E162" s="19"/>
      <x:c r="F162" s="19"/>
      <x:c r="G162" s="19"/>
      <x:c r="H162" s="19"/>
      <x:c r="I162" s="19"/>
      <x:c r="J162" s="19"/>
    </x:row>
    <x:row r="163" ht="65" customHeight="1">
      <x:c r="A163" s="2"/>
      <x:c r="B163" s="2"/>
      <x:c r="C163" s="2"/>
      <x:c r="D163" s="19"/>
      <x:c r="E163" s="19"/>
      <x:c r="F163" s="19"/>
      <x:c r="G163" s="19"/>
      <x:c r="H163" s="19"/>
      <x:c r="I163" s="19"/>
      <x:c r="J163" s="19"/>
    </x:row>
    <x:row r="164" ht="65" customHeight="1">
      <x:c r="A164" s="16"/>
      <x:c r="B164" s="16"/>
      <x:c r="C164" s="16"/>
      <x:c r="D164" s="19"/>
      <x:c r="E164" s="19"/>
      <x:c r="F164" s="19"/>
      <x:c r="G164" s="19"/>
      <x:c r="H164" s="19"/>
      <x:c r="I164" s="19"/>
      <x:c r="J164" s="19"/>
    </x:row>
    <x:row r="165" ht="65" customHeight="1">
      <x:c r="A165" s="2"/>
      <x:c r="B165" s="2"/>
      <x:c r="C165" s="2"/>
      <x:c r="D165" s="19"/>
      <x:c r="E165" s="19"/>
      <x:c r="F165" s="19"/>
      <x:c r="G165" s="19"/>
      <x:c r="H165" s="19"/>
      <x:c r="I165" s="19"/>
      <x:c r="J165" s="19"/>
    </x:row>
    <x:row r="166" ht="65" customHeight="1">
      <x:c r="A166" s="16"/>
      <x:c r="B166" s="16"/>
      <x:c r="C166" s="16"/>
      <x:c r="D166" s="19"/>
      <x:c r="E166" s="19"/>
      <x:c r="F166" s="19"/>
      <x:c r="G166" s="19"/>
      <x:c r="H166" s="19"/>
      <x:c r="I166" s="19"/>
      <x:c r="J166" s="19"/>
    </x:row>
    <x:row r="167" ht="65" customHeight="1">
      <x:c r="A167" s="2"/>
      <x:c r="B167" s="2"/>
      <x:c r="C167" s="2"/>
      <x:c r="D167" s="19"/>
      <x:c r="E167" s="19"/>
      <x:c r="F167" s="19"/>
      <x:c r="G167" s="19"/>
      <x:c r="H167" s="19"/>
      <x:c r="I167" s="19"/>
      <x:c r="J167" s="19"/>
    </x:row>
    <x:row r="168" ht="65" customHeight="1">
      <x:c r="A168" s="16"/>
      <x:c r="B168" s="16"/>
      <x:c r="C168" s="16"/>
      <x:c r="D168" s="19"/>
      <x:c r="E168" s="19"/>
      <x:c r="F168" s="19"/>
      <x:c r="G168" s="19"/>
      <x:c r="H168" s="19"/>
      <x:c r="I168" s="19"/>
      <x:c r="J168" s="19"/>
    </x:row>
    <x:row r="169" ht="65" customHeight="1">
      <x:c r="A169" s="2"/>
      <x:c r="B169" s="2"/>
      <x:c r="C169" s="2"/>
      <x:c r="D169" s="19"/>
      <x:c r="E169" s="19"/>
      <x:c r="F169" s="19"/>
      <x:c r="G169" s="19"/>
      <x:c r="H169" s="19"/>
      <x:c r="I169" s="19"/>
      <x:c r="J169" s="19"/>
    </x:row>
    <x:row r="170" ht="65" customHeight="1">
      <x:c r="A170" s="16"/>
      <x:c r="B170" s="16"/>
      <x:c r="C170" s="16"/>
      <x:c r="D170" s="19"/>
      <x:c r="E170" s="19"/>
      <x:c r="F170" s="19"/>
      <x:c r="G170" s="19"/>
      <x:c r="H170" s="19"/>
      <x:c r="I170" s="19"/>
      <x:c r="J170" s="19"/>
    </x:row>
    <x:row r="171" ht="65" customHeight="1">
      <x:c r="A171" s="2"/>
      <x:c r="B171" s="2"/>
      <x:c r="C171" s="2"/>
      <x:c r="D171" s="19"/>
      <x:c r="E171" s="19"/>
      <x:c r="F171" s="19"/>
      <x:c r="G171" s="19"/>
      <x:c r="H171" s="19"/>
      <x:c r="I171" s="19"/>
      <x:c r="J171" s="19"/>
    </x:row>
    <x:row r="172" ht="65" customHeight="1">
      <x:c r="A172" s="16"/>
      <x:c r="B172" s="16"/>
      <x:c r="C172" s="16"/>
      <x:c r="D172" s="19"/>
      <x:c r="E172" s="19"/>
      <x:c r="F172" s="19"/>
      <x:c r="G172" s="19"/>
      <x:c r="H172" s="19"/>
      <x:c r="I172" s="19"/>
      <x:c r="J172" s="19"/>
    </x:row>
    <x:row r="173" ht="65" customHeight="1">
      <x:c r="A173" s="2"/>
      <x:c r="B173" s="2"/>
      <x:c r="C173" s="2"/>
      <x:c r="D173" s="19"/>
      <x:c r="E173" s="19"/>
      <x:c r="F173" s="19"/>
      <x:c r="G173" s="19"/>
      <x:c r="H173" s="19"/>
      <x:c r="I173" s="19"/>
      <x:c r="J173" s="19"/>
    </x:row>
    <x:row r="174" ht="65" customHeight="1">
      <x:c r="A174" s="16"/>
      <x:c r="B174" s="16"/>
      <x:c r="C174" s="16"/>
      <x:c r="D174" s="19"/>
      <x:c r="E174" s="19"/>
      <x:c r="F174" s="19"/>
      <x:c r="G174" s="19"/>
      <x:c r="H174" s="19"/>
      <x:c r="I174" s="19"/>
      <x:c r="J174" s="19"/>
    </x:row>
    <x:row r="175" ht="65" customHeight="1">
      <x:c r="A175" s="2"/>
      <x:c r="B175" s="2"/>
      <x:c r="C175" s="2"/>
      <x:c r="D175" s="19"/>
      <x:c r="E175" s="19"/>
      <x:c r="F175" s="19"/>
      <x:c r="G175" s="19"/>
      <x:c r="H175" s="19"/>
      <x:c r="I175" s="19"/>
      <x:c r="J175" s="19"/>
    </x:row>
    <x:row r="176" ht="65" customHeight="1">
      <x:c r="A176" s="16"/>
      <x:c r="B176" s="16"/>
      <x:c r="C176" s="16"/>
      <x:c r="D176" s="19"/>
      <x:c r="E176" s="19"/>
      <x:c r="F176" s="19"/>
      <x:c r="G176" s="19"/>
      <x:c r="H176" s="19"/>
      <x:c r="I176" s="19"/>
      <x:c r="J176" s="19"/>
    </x:row>
    <x:row r="177" ht="65" customHeight="1">
      <x:c r="A177" s="2"/>
      <x:c r="B177" s="2"/>
      <x:c r="C177" s="2"/>
      <x:c r="D177" s="19"/>
      <x:c r="E177" s="19"/>
      <x:c r="F177" s="19"/>
      <x:c r="G177" s="19"/>
      <x:c r="H177" s="19"/>
      <x:c r="I177" s="19"/>
      <x:c r="J177" s="19"/>
    </x:row>
    <x:row r="178" ht="65" customHeight="1">
      <x:c r="A178" s="16"/>
      <x:c r="B178" s="16"/>
      <x:c r="C178" s="16"/>
      <x:c r="D178" s="19"/>
      <x:c r="E178" s="19"/>
      <x:c r="F178" s="19"/>
      <x:c r="G178" s="19"/>
      <x:c r="H178" s="19"/>
      <x:c r="I178" s="19"/>
      <x:c r="J178" s="19"/>
    </x:row>
    <x:row r="179" ht="65" customHeight="1">
      <x:c r="A179" s="2"/>
      <x:c r="B179" s="2"/>
      <x:c r="C179" s="2"/>
      <x:c r="D179" s="19"/>
      <x:c r="E179" s="19"/>
      <x:c r="F179" s="19"/>
      <x:c r="G179" s="19"/>
      <x:c r="H179" s="19"/>
      <x:c r="I179" s="19"/>
      <x:c r="J179" s="19"/>
    </x:row>
    <x:row r="180" ht="65" customHeight="1">
      <x:c r="A180" s="16"/>
      <x:c r="B180" s="16"/>
      <x:c r="C180" s="16"/>
      <x:c r="D180" s="19"/>
      <x:c r="E180" s="19"/>
      <x:c r="F180" s="19"/>
      <x:c r="G180" s="19"/>
      <x:c r="H180" s="19"/>
      <x:c r="I180" s="19"/>
      <x:c r="J180" s="19"/>
    </x:row>
    <x:row r="181" ht="65" customHeight="1">
      <x:c r="A181" s="2"/>
      <x:c r="B181" s="2"/>
      <x:c r="C181" s="2"/>
      <x:c r="D181" s="19"/>
      <x:c r="E181" s="19"/>
      <x:c r="F181" s="19"/>
      <x:c r="G181" s="19"/>
      <x:c r="H181" s="19"/>
      <x:c r="I181" s="19"/>
      <x:c r="J181" s="19"/>
    </x:row>
    <x:row r="182" ht="65" customHeight="1">
      <x:c r="A182" s="16"/>
      <x:c r="B182" s="16"/>
      <x:c r="C182" s="16"/>
      <x:c r="D182" s="19"/>
      <x:c r="E182" s="19"/>
      <x:c r="F182" s="19"/>
      <x:c r="G182" s="19"/>
      <x:c r="H182" s="19"/>
      <x:c r="I182" s="19"/>
      <x:c r="J182" s="19"/>
    </x:row>
    <x:row r="183" ht="65" customHeight="1">
      <x:c r="A183" s="2"/>
      <x:c r="B183" s="2"/>
      <x:c r="C183" s="2"/>
      <x:c r="D183" s="19"/>
      <x:c r="E183" s="19"/>
      <x:c r="F183" s="19"/>
      <x:c r="G183" s="19"/>
      <x:c r="H183" s="19"/>
      <x:c r="I183" s="19"/>
      <x:c r="J183" s="19"/>
    </x:row>
    <x:row r="184" ht="65" customHeight="1">
      <x:c r="A184" s="16"/>
      <x:c r="B184" s="16"/>
      <x:c r="C184" s="16"/>
      <x:c r="D184" s="19"/>
      <x:c r="E184" s="19"/>
      <x:c r="F184" s="19"/>
      <x:c r="G184" s="19"/>
      <x:c r="H184" s="19"/>
      <x:c r="I184" s="19"/>
      <x:c r="J184" s="19"/>
    </x:row>
    <x:row r="185" ht="65" customHeight="1">
      <x:c r="A185" s="2"/>
      <x:c r="B185" s="2"/>
      <x:c r="C185" s="2"/>
      <x:c r="D185" s="19"/>
      <x:c r="E185" s="19"/>
      <x:c r="F185" s="19"/>
      <x:c r="G185" s="19"/>
      <x:c r="H185" s="19"/>
      <x:c r="I185" s="19"/>
      <x:c r="J185" s="19"/>
    </x:row>
    <x:row r="186" ht="65" customHeight="1">
      <x:c r="A186" s="16"/>
      <x:c r="B186" s="16"/>
      <x:c r="C186" s="16"/>
      <x:c r="D186" s="19"/>
      <x:c r="E186" s="19"/>
      <x:c r="F186" s="19"/>
      <x:c r="G186" s="19"/>
      <x:c r="H186" s="19"/>
      <x:c r="I186" s="19"/>
      <x:c r="J186" s="19"/>
    </x:row>
    <x:row r="187" ht="65" customHeight="1">
      <x:c r="A187" s="2"/>
      <x:c r="B187" s="2"/>
      <x:c r="C187" s="2"/>
      <x:c r="D187" s="19"/>
      <x:c r="E187" s="19"/>
      <x:c r="F187" s="19"/>
      <x:c r="G187" s="19"/>
      <x:c r="H187" s="19"/>
      <x:c r="I187" s="19"/>
      <x:c r="J187" s="19"/>
    </x:row>
    <x:row r="188" ht="65" customHeight="1">
      <x:c r="A188" s="16"/>
      <x:c r="B188" s="16"/>
      <x:c r="C188" s="16"/>
      <x:c r="D188" s="19"/>
      <x:c r="E188" s="19"/>
      <x:c r="F188" s="19"/>
      <x:c r="G188" s="19"/>
      <x:c r="H188" s="19"/>
      <x:c r="I188" s="19"/>
      <x:c r="J188" s="19"/>
    </x:row>
    <x:row r="189" ht="65" customHeight="1">
      <x:c r="A189" s="2"/>
      <x:c r="B189" s="2"/>
      <x:c r="C189" s="2"/>
      <x:c r="D189" s="19"/>
      <x:c r="E189" s="19"/>
      <x:c r="F189" s="19"/>
      <x:c r="G189" s="19"/>
      <x:c r="H189" s="19"/>
      <x:c r="I189" s="19"/>
      <x:c r="J189" s="19"/>
    </x:row>
    <x:row r="190" ht="65" customHeight="1">
      <x:c r="A190" s="16"/>
      <x:c r="B190" s="16"/>
      <x:c r="C190" s="16"/>
      <x:c r="D190" s="19"/>
      <x:c r="E190" s="19"/>
      <x:c r="F190" s="19"/>
      <x:c r="G190" s="19"/>
      <x:c r="H190" s="19"/>
      <x:c r="I190" s="19"/>
      <x:c r="J190" s="19"/>
    </x:row>
    <x:row r="191" ht="65" customHeight="1">
      <x:c r="A191" s="2"/>
      <x:c r="B191" s="2"/>
      <x:c r="C191" s="2"/>
      <x:c r="D191" s="19"/>
      <x:c r="E191" s="19"/>
      <x:c r="F191" s="19"/>
      <x:c r="G191" s="19"/>
      <x:c r="H191" s="19"/>
      <x:c r="I191" s="19"/>
      <x:c r="J191" s="19"/>
    </x:row>
    <x:row r="192" ht="65" customHeight="1">
      <x:c r="A192" s="16"/>
      <x:c r="B192" s="16"/>
      <x:c r="C192" s="16"/>
      <x:c r="D192" s="19"/>
      <x:c r="E192" s="19"/>
      <x:c r="F192" s="19"/>
      <x:c r="G192" s="19"/>
      <x:c r="H192" s="19"/>
      <x:c r="I192" s="19"/>
      <x:c r="J192" s="19"/>
    </x:row>
    <x:row r="193" ht="65" customHeight="1">
      <x:c r="A193" s="2"/>
      <x:c r="B193" s="2"/>
      <x:c r="C193" s="2"/>
      <x:c r="D193" s="19"/>
      <x:c r="E193" s="19"/>
      <x:c r="F193" s="19"/>
      <x:c r="G193" s="19"/>
      <x:c r="H193" s="19"/>
      <x:c r="I193" s="19"/>
      <x:c r="J193" s="19"/>
    </x:row>
    <x:row r="194" ht="65" customHeight="1">
      <x:c r="A194" s="16"/>
      <x:c r="B194" s="16"/>
      <x:c r="C194" s="16"/>
      <x:c r="D194" s="19"/>
      <x:c r="E194" s="19"/>
      <x:c r="F194" s="19"/>
      <x:c r="G194" s="19"/>
      <x:c r="H194" s="19"/>
      <x:c r="I194" s="19"/>
      <x:c r="J194" s="19"/>
    </x:row>
    <x:row r="195" ht="65" customHeight="1">
      <x:c r="A195" s="2"/>
      <x:c r="B195" s="2"/>
      <x:c r="C195" s="2"/>
      <x:c r="D195" s="19"/>
      <x:c r="E195" s="19"/>
      <x:c r="F195" s="19"/>
      <x:c r="G195" s="19"/>
      <x:c r="H195" s="19"/>
      <x:c r="I195" s="19"/>
      <x:c r="J195" s="19"/>
    </x:row>
    <x:row r="196" ht="65" customHeight="1">
      <x:c r="A196" s="16"/>
      <x:c r="B196" s="16"/>
      <x:c r="C196" s="16"/>
      <x:c r="D196" s="19"/>
      <x:c r="E196" s="19"/>
      <x:c r="F196" s="19"/>
      <x:c r="G196" s="19"/>
      <x:c r="H196" s="19"/>
      <x:c r="I196" s="19"/>
      <x:c r="J196" s="19"/>
    </x:row>
    <x:row r="197" ht="65" customHeight="1">
      <x:c r="A197" s="2"/>
      <x:c r="B197" s="2"/>
      <x:c r="C197" s="2"/>
      <x:c r="D197" s="19"/>
      <x:c r="E197" s="19"/>
      <x:c r="F197" s="19"/>
      <x:c r="G197" s="19"/>
      <x:c r="H197" s="19"/>
      <x:c r="I197" s="19"/>
      <x:c r="J197" s="19"/>
    </x:row>
    <x:row r="198" ht="65" customHeight="1">
      <x:c r="A198" s="16"/>
      <x:c r="B198" s="16"/>
      <x:c r="C198" s="16"/>
      <x:c r="D198" s="19"/>
      <x:c r="E198" s="19"/>
      <x:c r="F198" s="19"/>
      <x:c r="G198" s="19"/>
      <x:c r="H198" s="19"/>
      <x:c r="I198" s="19"/>
      <x:c r="J198" s="19"/>
    </x:row>
    <x:row r="199" ht="65" customHeight="1">
      <x:c r="A199" s="2"/>
      <x:c r="B199" s="2"/>
      <x:c r="C199" s="2"/>
      <x:c r="D199" s="19"/>
      <x:c r="E199" s="19"/>
      <x:c r="F199" s="19"/>
      <x:c r="G199" s="19"/>
      <x:c r="H199" s="19"/>
      <x:c r="I199" s="19"/>
      <x:c r="J199" s="19"/>
    </x:row>
    <x:row r="200" ht="65" customHeight="1">
      <x:c r="A200" s="16"/>
      <x:c r="B200" s="16"/>
      <x:c r="C200" s="16"/>
      <x:c r="D200" s="19"/>
      <x:c r="E200" s="19"/>
      <x:c r="F200" s="19"/>
      <x:c r="G200" s="19"/>
      <x:c r="H200" s="19"/>
      <x:c r="I200" s="19"/>
      <x:c r="J200" s="19"/>
    </x:row>
    <x:row r="201" ht="65" customHeight="1">
      <x:c r="A201" s="2"/>
      <x:c r="B201" s="2"/>
      <x:c r="C201" s="2"/>
      <x:c r="D201" s="19"/>
      <x:c r="E201" s="19"/>
      <x:c r="F201" s="19"/>
      <x:c r="G201" s="19"/>
      <x:c r="H201" s="19"/>
      <x:c r="I201" s="19"/>
      <x:c r="J201" s="19"/>
    </x:row>
    <x:row r="202" ht="65" customHeight="1">
      <x:c r="A202" s="16"/>
      <x:c r="B202" s="16"/>
      <x:c r="C202" s="16"/>
      <x:c r="D202" s="19"/>
      <x:c r="E202" s="19"/>
      <x:c r="F202" s="19"/>
      <x:c r="G202" s="19"/>
      <x:c r="H202" s="19"/>
      <x:c r="I202" s="19"/>
      <x:c r="J202" s="19"/>
    </x:row>
    <x:row r="203" ht="65" customHeight="1">
      <x:c r="A203" s="2"/>
      <x:c r="B203" s="2"/>
      <x:c r="C203" s="2"/>
      <x:c r="D203" s="19"/>
      <x:c r="E203" s="19"/>
      <x:c r="F203" s="19"/>
      <x:c r="G203" s="19"/>
      <x:c r="H203" s="19"/>
      <x:c r="I203" s="19"/>
      <x:c r="J203" s="19"/>
    </x:row>
    <x:row r="204" ht="65" customHeight="1">
      <x:c r="A204" s="16"/>
      <x:c r="B204" s="16"/>
      <x:c r="C204" s="16"/>
      <x:c r="D204" s="19"/>
      <x:c r="E204" s="19"/>
      <x:c r="F204" s="19"/>
      <x:c r="G204" s="19"/>
      <x:c r="H204" s="19"/>
      <x:c r="I204" s="19"/>
      <x:c r="J204" s="19"/>
    </x:row>
    <x:row r="205" ht="65" customHeight="1">
      <x:c r="A205" s="2"/>
      <x:c r="B205" s="2"/>
      <x:c r="C205" s="2"/>
      <x:c r="D205" s="19"/>
      <x:c r="E205" s="19"/>
      <x:c r="F205" s="19"/>
      <x:c r="G205" s="19"/>
      <x:c r="H205" s="19"/>
      <x:c r="I205" s="19"/>
      <x:c r="J205" s="19"/>
    </x:row>
  </x:sheetData>
  <x:dataValidations count="1">
    <x:dataValidation type="list" sqref="F6:F205">
      <x:formula1>"DISEÑADO_NO_EJECUTADO,PASS,FAIL,BLOCKED,NO_APLICA"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8" hidden="0" customWidth="1"/>
    <x:col min="3" max="3" width="50" hidden="0" customWidth="1"/>
    <x:col min="4" max="4" width="28" hidden="0" customWidth="1"/>
    <x:col min="5" max="5" width="15" hidden="0" customWidth="1"/>
    <x:col min="6" max="6" width="28" hidden="0" customWidth="1"/>
  </x:cols>
  <x:sheetData>
    <x:row r="1" ht="28" customHeight="1">
      <x:c r="A1" s="2"/>
      <x:c r="B1" s="2"/>
      <x:c r="C1" s="2"/>
      <x:c r="D1" s="2"/>
      <x:c r="E1" s="2"/>
      <x:c r="F1" s="2"/>
    </x:row>
    <x:row r="2" ht="30" customHeight="1">
      <x:c r="A2" s="3" t="str">
        <x:v>Proveedores y alias de credencial</x:v>
      </x:c>
      <x:c r="B2" s="2"/>
      <x:c r="C2" s="2"/>
      <x:c r="D2" s="2"/>
      <x:c r="E2" s="2"/>
      <x:c r="F2" s="2"/>
    </x:row>
    <x:row r="3" ht="8" customHeight="1">
      <x:c r="A3" s="4"/>
      <x:c r="B3" s="4"/>
      <x:c r="C3" s="4"/>
      <x:c r="D3" s="4"/>
      <x:c r="E3" s="4"/>
      <x:c r="F3" s="4"/>
    </x:row>
    <x:row r="4" ht="25" customHeight="1">
      <x:c r="A4" s="25" t="str">
        <x:v>Guarda únicamente el nombre de la variable de entorno. Nunca pegues claves API en este libro.</x:v>
      </x:c>
      <x:c r="B4" s="2"/>
      <x:c r="C4" s="2"/>
      <x:c r="D4" s="2"/>
      <x:c r="E4" s="2"/>
      <x:c r="F4" s="2"/>
    </x:row>
    <x:row r="5" ht="34" customHeight="1">
      <x:c r="A5" s="13" t="str">
        <x:v>provider</x:v>
      </x:c>
      <x:c r="B5" s="14" t="str">
        <x:v>Nombre</x:v>
      </x:c>
      <x:c r="C5" s="14" t="str">
        <x:v>Base URL</x:v>
      </x:c>
      <x:c r="D5" s="14" t="str">
        <x:v>Alias de clave</x:v>
      </x:c>
      <x:c r="E5" s="14" t="str">
        <x:v>Habilitado</x:v>
      </x:c>
      <x:c r="F5" s="15" t="str">
        <x:v>Estado</x:v>
      </x:c>
    </x:row>
    <x:row r="6" ht="28" customHeight="1">
      <x:c r="A6" s="19" t="str">
        <x:v>deepseek-official</x:v>
      </x:c>
      <x:c r="B6" s="19" t="str">
        <x:v>DeepSeek oficial</x:v>
      </x:c>
      <x:c r="C6" s="19" t="str">
        <x:v>https://api.deepseek.com</x:v>
      </x:c>
      <x:c r="D6" s="19" t="str">
        <x:v>DEEPSEEK_API_KEY</x:v>
      </x:c>
      <x:c r="E6" s="19" t="str">
        <x:v>NO</x:v>
      </x:c>
      <x:c r="F6" s="19" t="str">
        <x:v>SIN_CREDENCIAL</x:v>
      </x:c>
    </x:row>
    <x:row r="7" ht="28" customHeight="1">
      <x:c r="A7" s="19"/>
      <x:c r="B7" s="19"/>
      <x:c r="C7" s="19"/>
      <x:c r="D7" s="19"/>
      <x:c r="E7" s="19"/>
      <x:c r="F7" s="19"/>
    </x:row>
    <x:row r="8" ht="28" customHeight="1">
      <x:c r="A8" s="19"/>
      <x:c r="B8" s="19"/>
      <x:c r="C8" s="19"/>
      <x:c r="D8" s="19"/>
      <x:c r="E8" s="19"/>
      <x:c r="F8" s="19"/>
    </x:row>
    <x:row r="9" ht="28" customHeight="1">
      <x:c r="A9" s="19"/>
      <x:c r="B9" s="19"/>
      <x:c r="C9" s="19"/>
      <x:c r="D9" s="19"/>
      <x:c r="E9" s="19"/>
      <x:c r="F9" s="19"/>
    </x:row>
    <x:row r="10" ht="28" customHeight="1">
      <x:c r="A10" s="19"/>
      <x:c r="B10" s="19"/>
      <x:c r="C10" s="19"/>
      <x:c r="D10" s="19"/>
      <x:c r="E10" s="19"/>
      <x:c r="F10" s="19"/>
    </x:row>
    <x:row r="11" ht="28" customHeight="1">
      <x:c r="A11" s="19"/>
      <x:c r="B11" s="19"/>
      <x:c r="C11" s="19"/>
      <x:c r="D11" s="19"/>
      <x:c r="E11" s="19"/>
      <x:c r="F11" s="19"/>
    </x:row>
    <x:row r="12" ht="28" customHeight="1">
      <x:c r="A12" s="19"/>
      <x:c r="B12" s="19"/>
      <x:c r="C12" s="19"/>
      <x:c r="D12" s="19"/>
      <x:c r="E12" s="19"/>
      <x:c r="F12" s="19"/>
    </x:row>
    <x:row r="13" ht="28" customHeight="1">
      <x:c r="A13" s="19"/>
      <x:c r="B13" s="19"/>
      <x:c r="C13" s="19"/>
      <x:c r="D13" s="19"/>
      <x:c r="E13" s="19"/>
      <x:c r="F13" s="19"/>
    </x:row>
    <x:row r="14" ht="28" customHeight="1">
      <x:c r="A14" s="19"/>
      <x:c r="B14" s="19"/>
      <x:c r="C14" s="19"/>
      <x:c r="D14" s="19"/>
      <x:c r="E14" s="19"/>
      <x:c r="F14" s="19"/>
    </x:row>
    <x:row r="15" ht="28" customHeight="1">
      <x:c r="A15" s="19"/>
      <x:c r="B15" s="19"/>
      <x:c r="C15" s="19"/>
      <x:c r="D15" s="19"/>
      <x:c r="E15" s="19"/>
      <x:c r="F15" s="19"/>
    </x:row>
    <x:row r="16" ht="28" customHeight="1">
      <x:c r="A16" s="19"/>
      <x:c r="B16" s="19"/>
      <x:c r="C16" s="19"/>
      <x:c r="D16" s="19"/>
      <x:c r="E16" s="19"/>
      <x:c r="F16" s="19"/>
    </x:row>
    <x:row r="17" ht="28" customHeight="1">
      <x:c r="A17" s="19"/>
      <x:c r="B17" s="19"/>
      <x:c r="C17" s="19"/>
      <x:c r="D17" s="19"/>
      <x:c r="E17" s="19"/>
      <x:c r="F17" s="19"/>
    </x:row>
    <x:row r="18" ht="28" customHeight="1">
      <x:c r="A18" s="19"/>
      <x:c r="B18" s="19"/>
      <x:c r="C18" s="19"/>
      <x:c r="D18" s="19"/>
      <x:c r="E18" s="19"/>
      <x:c r="F18" s="19"/>
    </x:row>
    <x:row r="19" ht="28" customHeight="1">
      <x:c r="A19" s="19"/>
      <x:c r="B19" s="19"/>
      <x:c r="C19" s="19"/>
      <x:c r="D19" s="19"/>
      <x:c r="E19" s="19"/>
      <x:c r="F19" s="19"/>
    </x:row>
    <x:row r="20" ht="28" customHeight="1">
      <x:c r="A20" s="19"/>
      <x:c r="B20" s="19"/>
      <x:c r="C20" s="19"/>
      <x:c r="D20" s="19"/>
      <x:c r="E20" s="19"/>
      <x:c r="F20" s="19"/>
    </x:row>
    <x:row r="21" ht="28" customHeight="1">
      <x:c r="A21" s="19"/>
      <x:c r="B21" s="19"/>
      <x:c r="C21" s="19"/>
      <x:c r="D21" s="19"/>
      <x:c r="E21" s="19"/>
      <x:c r="F21" s="19"/>
    </x:row>
    <x:row r="22" ht="28" customHeight="1">
      <x:c r="A22" s="19"/>
      <x:c r="B22" s="19"/>
      <x:c r="C22" s="19"/>
      <x:c r="D22" s="19"/>
      <x:c r="E22" s="19"/>
      <x:c r="F22" s="19"/>
    </x:row>
    <x:row r="23" ht="28" customHeight="1">
      <x:c r="A23" s="19"/>
      <x:c r="B23" s="19"/>
      <x:c r="C23" s="19"/>
      <x:c r="D23" s="19"/>
      <x:c r="E23" s="19"/>
      <x:c r="F23" s="19"/>
    </x:row>
    <x:row r="24" ht="28" customHeight="1">
      <x:c r="A24" s="19"/>
      <x:c r="B24" s="19"/>
      <x:c r="C24" s="19"/>
      <x:c r="D24" s="19"/>
      <x:c r="E24" s="19"/>
      <x:c r="F24" s="19"/>
    </x:row>
    <x:row r="25" ht="28" customHeight="1">
      <x:c r="A25" s="19"/>
      <x:c r="B25" s="19"/>
      <x:c r="C25" s="19"/>
      <x:c r="D25" s="19"/>
      <x:c r="E25" s="19"/>
      <x:c r="F25" s="19"/>
    </x:row>
  </x:sheetData>
  <x:dataValidations count="1">
    <x:dataValidation type="list" sqref="E6:E25">
      <x:formula1>"SI,NO"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" hidden="0" customWidth="1"/>
    <x:col min="2" max="2" width="28" hidden="0" customWidth="1"/>
    <x:col min="3" max="3" width="28" hidden="0" customWidth="1"/>
    <x:col min="4" max="4" width="25" hidden="0" customWidth="1"/>
    <x:col min="5" max="5" width="17" hidden="0" customWidth="1"/>
    <x:col min="6" max="6" width="25" hidden="0" customWidth="1"/>
    <x:col min="7" max="7" width="46" hidden="0" customWidth="1"/>
    <x:col min="8" max="8" width="7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Catálogo de modelos por proveedor</x:v>
      </x:c>
      <x:c r="B2" s="2"/>
      <x:c r="C2" s="2"/>
      <x:c r="D2" s="2"/>
      <x:c r="E2" s="2"/>
      <x:c r="F2" s="2"/>
      <x:c r="G2" s="2"/>
      <x:c r="H2" s="2"/>
    </x:row>
    <x:row r="3" ht="8" customHeight="1">
      <x:c r="A3" s="4"/>
      <x:c r="B3" s="4"/>
      <x:c r="C3" s="4"/>
      <x:c r="D3" s="4"/>
      <x:c r="E3" s="4"/>
      <x:c r="F3" s="4"/>
      <x:c r="G3" s="4"/>
      <x:c r="H3" s="4"/>
    </x:row>
    <x:row r="4" ht="25" customHeight="1">
      <x:c r="A4" s="25" t="str">
        <x:v>El puente actualiza este catálogo con /models. La prioridad es una preferencia; no prueba que un modelo sea el mejor.</x:v>
      </x:c>
      <x:c r="B4" s="2"/>
      <x:c r="C4" s="2"/>
      <x:c r="D4" s="2"/>
      <x:c r="E4" s="2"/>
      <x:c r="F4" s="2"/>
      <x:c r="G4" s="2"/>
      <x:c r="H4" s="2"/>
    </x:row>
    <x:row r="5" ht="34" customHeight="1">
      <x:c r="A5" s="13" t="str">
        <x:v>provider</x:v>
      </x:c>
      <x:c r="B5" s="14" t="str">
        <x:v>model_id</x:v>
      </x:c>
      <x:c r="C5" s="14" t="str">
        <x:v>Nombre</x:v>
      </x:c>
      <x:c r="D5" s="14" t="str">
        <x:v>Disponibilidad</x:v>
      </x:c>
      <x:c r="E5" s="14" t="str">
        <x:v>Prioridad usuario</x:v>
      </x:c>
      <x:c r="F5" s="14" t="str">
        <x:v>Verificado UTC</x:v>
      </x:c>
      <x:c r="G5" s="14" t="str">
        <x:v>Capacidades</x:v>
      </x:c>
      <x:c r="H5" s="15" t="str">
        <x:v>Nota</x:v>
      </x:c>
    </x:row>
    <x:row r="6" ht="28" customHeight="1">
      <x:c r="A6" s="16" t="str">
        <x:v>deepseek-official</x:v>
      </x:c>
      <x:c r="B6" s="16" t="str">
        <x:v>deepseek-flash</x:v>
      </x:c>
      <x:c r="C6" s="16" t="str">
        <x:v>deepseek-flash</x:v>
      </x:c>
      <x:c r="D6" s="16" t="str">
        <x:v>UNVERIFIED</x:v>
      </x:c>
      <x:c r="E6" s="19" t="n">
        <x:v>1</x:v>
      </x:c>
      <x:c r="F6" s="16" t="str"/>
      <x:c r="G6" s="21" t="str">
        <x:v>SIN_VERIFICAR</x:v>
      </x:c>
      <x:c r="H6" s="21" t="str">
        <x:v>ID semilla. Consulta el catálogo real para verificar acceso de la cuenta y compatibilidad con la ruta DSH.</x:v>
      </x:c>
    </x:row>
    <x:row r="7" ht="28" customHeight="1">
      <x:c r="A7" s="2"/>
      <x:c r="B7" s="2"/>
      <x:c r="C7" s="2"/>
      <x:c r="D7" s="2"/>
      <x:c r="E7" s="19"/>
      <x:c r="F7" s="2"/>
      <x:c r="G7" s="22"/>
      <x:c r="H7" s="22"/>
    </x:row>
    <x:row r="8" ht="28" customHeight="1">
      <x:c r="A8" s="16"/>
      <x:c r="B8" s="16"/>
      <x:c r="C8" s="16"/>
      <x:c r="D8" s="16"/>
      <x:c r="E8" s="19"/>
      <x:c r="F8" s="16"/>
      <x:c r="G8" s="21"/>
      <x:c r="H8" s="21"/>
    </x:row>
    <x:row r="9" ht="28" customHeight="1">
      <x:c r="A9" s="2"/>
      <x:c r="B9" s="2"/>
      <x:c r="C9" s="2"/>
      <x:c r="D9" s="2"/>
      <x:c r="E9" s="19"/>
      <x:c r="F9" s="2"/>
      <x:c r="G9" s="22"/>
      <x:c r="H9" s="22"/>
    </x:row>
    <x:row r="10" ht="28" customHeight="1">
      <x:c r="A10" s="16"/>
      <x:c r="B10" s="16"/>
      <x:c r="C10" s="16"/>
      <x:c r="D10" s="16"/>
      <x:c r="E10" s="19"/>
      <x:c r="F10" s="16"/>
      <x:c r="G10" s="21"/>
      <x:c r="H10" s="21"/>
    </x:row>
    <x:row r="11" ht="28" customHeight="1">
      <x:c r="A11" s="2"/>
      <x:c r="B11" s="2"/>
      <x:c r="C11" s="2"/>
      <x:c r="D11" s="2"/>
      <x:c r="E11" s="19"/>
      <x:c r="F11" s="2"/>
      <x:c r="G11" s="22"/>
      <x:c r="H11" s="22"/>
    </x:row>
    <x:row r="12" ht="28" customHeight="1">
      <x:c r="A12" s="16"/>
      <x:c r="B12" s="16"/>
      <x:c r="C12" s="16"/>
      <x:c r="D12" s="16"/>
      <x:c r="E12" s="19"/>
      <x:c r="F12" s="16"/>
      <x:c r="G12" s="21"/>
      <x:c r="H12" s="21"/>
    </x:row>
    <x:row r="13" ht="28" customHeight="1">
      <x:c r="A13" s="2"/>
      <x:c r="B13" s="2"/>
      <x:c r="C13" s="2"/>
      <x:c r="D13" s="2"/>
      <x:c r="E13" s="19"/>
      <x:c r="F13" s="2"/>
      <x:c r="G13" s="22"/>
      <x:c r="H13" s="22"/>
    </x:row>
    <x:row r="14" ht="28" customHeight="1">
      <x:c r="A14" s="16"/>
      <x:c r="B14" s="16"/>
      <x:c r="C14" s="16"/>
      <x:c r="D14" s="16"/>
      <x:c r="E14" s="19"/>
      <x:c r="F14" s="16"/>
      <x:c r="G14" s="21"/>
      <x:c r="H14" s="21"/>
    </x:row>
    <x:row r="15" ht="28" customHeight="1">
      <x:c r="A15" s="2"/>
      <x:c r="B15" s="2"/>
      <x:c r="C15" s="2"/>
      <x:c r="D15" s="2"/>
      <x:c r="E15" s="19"/>
      <x:c r="F15" s="2"/>
      <x:c r="G15" s="22"/>
      <x:c r="H15" s="22"/>
    </x:row>
    <x:row r="16" ht="28" customHeight="1">
      <x:c r="A16" s="16"/>
      <x:c r="B16" s="16"/>
      <x:c r="C16" s="16"/>
      <x:c r="D16" s="16"/>
      <x:c r="E16" s="19"/>
      <x:c r="F16" s="16"/>
      <x:c r="G16" s="21"/>
      <x:c r="H16" s="21"/>
    </x:row>
    <x:row r="17" ht="28" customHeight="1">
      <x:c r="A17" s="2"/>
      <x:c r="B17" s="2"/>
      <x:c r="C17" s="2"/>
      <x:c r="D17" s="2"/>
      <x:c r="E17" s="19"/>
      <x:c r="F17" s="2"/>
      <x:c r="G17" s="22"/>
      <x:c r="H17" s="22"/>
    </x:row>
    <x:row r="18" ht="28" customHeight="1">
      <x:c r="A18" s="16"/>
      <x:c r="B18" s="16"/>
      <x:c r="C18" s="16"/>
      <x:c r="D18" s="16"/>
      <x:c r="E18" s="19"/>
      <x:c r="F18" s="16"/>
      <x:c r="G18" s="21"/>
      <x:c r="H18" s="21"/>
    </x:row>
    <x:row r="19" ht="28" customHeight="1">
      <x:c r="A19" s="2"/>
      <x:c r="B19" s="2"/>
      <x:c r="C19" s="2"/>
      <x:c r="D19" s="2"/>
      <x:c r="E19" s="19"/>
      <x:c r="F19" s="2"/>
      <x:c r="G19" s="22"/>
      <x:c r="H19" s="22"/>
    </x:row>
    <x:row r="20" ht="28" customHeight="1">
      <x:c r="A20" s="16"/>
      <x:c r="B20" s="16"/>
      <x:c r="C20" s="16"/>
      <x:c r="D20" s="16"/>
      <x:c r="E20" s="19"/>
      <x:c r="F20" s="16"/>
      <x:c r="G20" s="21"/>
      <x:c r="H20" s="21"/>
    </x:row>
    <x:row r="21" ht="28" customHeight="1">
      <x:c r="A21" s="2"/>
      <x:c r="B21" s="2"/>
      <x:c r="C21" s="2"/>
      <x:c r="D21" s="2"/>
      <x:c r="E21" s="19"/>
      <x:c r="F21" s="2"/>
      <x:c r="G21" s="22"/>
      <x:c r="H21" s="22"/>
    </x:row>
    <x:row r="22" ht="28" customHeight="1">
      <x:c r="A22" s="16"/>
      <x:c r="B22" s="16"/>
      <x:c r="C22" s="16"/>
      <x:c r="D22" s="16"/>
      <x:c r="E22" s="19"/>
      <x:c r="F22" s="16"/>
      <x:c r="G22" s="21"/>
      <x:c r="H22" s="21"/>
    </x:row>
    <x:row r="23" ht="28" customHeight="1">
      <x:c r="A23" s="2"/>
      <x:c r="B23" s="2"/>
      <x:c r="C23" s="2"/>
      <x:c r="D23" s="2"/>
      <x:c r="E23" s="19"/>
      <x:c r="F23" s="2"/>
      <x:c r="G23" s="22"/>
      <x:c r="H23" s="22"/>
    </x:row>
    <x:row r="24" ht="28" customHeight="1">
      <x:c r="A24" s="16"/>
      <x:c r="B24" s="16"/>
      <x:c r="C24" s="16"/>
      <x:c r="D24" s="16"/>
      <x:c r="E24" s="19"/>
      <x:c r="F24" s="16"/>
      <x:c r="G24" s="21"/>
      <x:c r="H24" s="21"/>
    </x:row>
    <x:row r="25" ht="28" customHeight="1">
      <x:c r="A25" s="2"/>
      <x:c r="B25" s="2"/>
      <x:c r="C25" s="2"/>
      <x:c r="D25" s="2"/>
      <x:c r="E25" s="19"/>
      <x:c r="F25" s="2"/>
      <x:c r="G25" s="22"/>
      <x:c r="H25" s="22"/>
    </x:row>
    <x:row r="26" ht="28" customHeight="1">
      <x:c r="A26" s="16"/>
      <x:c r="B26" s="16"/>
      <x:c r="C26" s="16"/>
      <x:c r="D26" s="16"/>
      <x:c r="E26" s="19"/>
      <x:c r="F26" s="16"/>
      <x:c r="G26" s="21"/>
      <x:c r="H26" s="21"/>
    </x:row>
    <x:row r="27" ht="28" customHeight="1">
      <x:c r="A27" s="2"/>
      <x:c r="B27" s="2"/>
      <x:c r="C27" s="2"/>
      <x:c r="D27" s="2"/>
      <x:c r="E27" s="19"/>
      <x:c r="F27" s="2"/>
      <x:c r="G27" s="22"/>
      <x:c r="H27" s="22"/>
    </x:row>
    <x:row r="28" ht="28" customHeight="1">
      <x:c r="A28" s="16"/>
      <x:c r="B28" s="16"/>
      <x:c r="C28" s="16"/>
      <x:c r="D28" s="16"/>
      <x:c r="E28" s="19"/>
      <x:c r="F28" s="16"/>
      <x:c r="G28" s="21"/>
      <x:c r="H28" s="21"/>
    </x:row>
    <x:row r="29" ht="28" customHeight="1">
      <x:c r="A29" s="2"/>
      <x:c r="B29" s="2"/>
      <x:c r="C29" s="2"/>
      <x:c r="D29" s="2"/>
      <x:c r="E29" s="19"/>
      <x:c r="F29" s="2"/>
      <x:c r="G29" s="22"/>
      <x:c r="H29" s="22"/>
    </x:row>
    <x:row r="30" ht="28" customHeight="1">
      <x:c r="A30" s="16"/>
      <x:c r="B30" s="16"/>
      <x:c r="C30" s="16"/>
      <x:c r="D30" s="16"/>
      <x:c r="E30" s="19"/>
      <x:c r="F30" s="16"/>
      <x:c r="G30" s="21"/>
      <x:c r="H30" s="21"/>
    </x:row>
    <x:row r="31" ht="28" customHeight="1">
      <x:c r="A31" s="2"/>
      <x:c r="B31" s="2"/>
      <x:c r="C31" s="2"/>
      <x:c r="D31" s="2"/>
      <x:c r="E31" s="19"/>
      <x:c r="F31" s="2"/>
      <x:c r="G31" s="22"/>
      <x:c r="H31" s="22"/>
    </x:row>
    <x:row r="32" ht="28" customHeight="1">
      <x:c r="A32" s="16"/>
      <x:c r="B32" s="16"/>
      <x:c r="C32" s="16"/>
      <x:c r="D32" s="16"/>
      <x:c r="E32" s="19"/>
      <x:c r="F32" s="16"/>
      <x:c r="G32" s="21"/>
      <x:c r="H32" s="21"/>
    </x:row>
    <x:row r="33" ht="28" customHeight="1">
      <x:c r="A33" s="2"/>
      <x:c r="B33" s="2"/>
      <x:c r="C33" s="2"/>
      <x:c r="D33" s="2"/>
      <x:c r="E33" s="19"/>
      <x:c r="F33" s="2"/>
      <x:c r="G33" s="22"/>
      <x:c r="H33" s="22"/>
    </x:row>
    <x:row r="34" ht="28" customHeight="1">
      <x:c r="A34" s="16"/>
      <x:c r="B34" s="16"/>
      <x:c r="C34" s="16"/>
      <x:c r="D34" s="16"/>
      <x:c r="E34" s="19"/>
      <x:c r="F34" s="16"/>
      <x:c r="G34" s="21"/>
      <x:c r="H34" s="21"/>
    </x:row>
    <x:row r="35" ht="28" customHeight="1">
      <x:c r="A35" s="2"/>
      <x:c r="B35" s="2"/>
      <x:c r="C35" s="2"/>
      <x:c r="D35" s="2"/>
      <x:c r="E35" s="19"/>
      <x:c r="F35" s="2"/>
      <x:c r="G35" s="22"/>
      <x:c r="H35" s="22"/>
    </x:row>
    <x:row r="36" ht="28" customHeight="1">
      <x:c r="A36" s="16"/>
      <x:c r="B36" s="16"/>
      <x:c r="C36" s="16"/>
      <x:c r="D36" s="16"/>
      <x:c r="E36" s="19"/>
      <x:c r="F36" s="16"/>
      <x:c r="G36" s="21"/>
      <x:c r="H36" s="21"/>
    </x:row>
    <x:row r="37" ht="28" customHeight="1">
      <x:c r="A37" s="2"/>
      <x:c r="B37" s="2"/>
      <x:c r="C37" s="2"/>
      <x:c r="D37" s="2"/>
      <x:c r="E37" s="19"/>
      <x:c r="F37" s="2"/>
      <x:c r="G37" s="22"/>
      <x:c r="H37" s="22"/>
    </x:row>
    <x:row r="38" ht="28" customHeight="1">
      <x:c r="A38" s="16"/>
      <x:c r="B38" s="16"/>
      <x:c r="C38" s="16"/>
      <x:c r="D38" s="16"/>
      <x:c r="E38" s="19"/>
      <x:c r="F38" s="16"/>
      <x:c r="G38" s="21"/>
      <x:c r="H38" s="21"/>
    </x:row>
    <x:row r="39" ht="28" customHeight="1">
      <x:c r="A39" s="2"/>
      <x:c r="B39" s="2"/>
      <x:c r="C39" s="2"/>
      <x:c r="D39" s="2"/>
      <x:c r="E39" s="19"/>
      <x:c r="F39" s="2"/>
      <x:c r="G39" s="22"/>
      <x:c r="H39" s="22"/>
    </x:row>
    <x:row r="40" ht="28" customHeight="1">
      <x:c r="A40" s="16"/>
      <x:c r="B40" s="16"/>
      <x:c r="C40" s="16"/>
      <x:c r="D40" s="16"/>
      <x:c r="E40" s="19"/>
      <x:c r="F40" s="16"/>
      <x:c r="G40" s="21"/>
      <x:c r="H40" s="21"/>
    </x:row>
    <x:row r="41" ht="28" customHeight="1">
      <x:c r="A41" s="2"/>
      <x:c r="B41" s="2"/>
      <x:c r="C41" s="2"/>
      <x:c r="D41" s="2"/>
      <x:c r="E41" s="19"/>
      <x:c r="F41" s="2"/>
      <x:c r="G41" s="22"/>
      <x:c r="H41" s="22"/>
    </x:row>
    <x:row r="42" ht="28" customHeight="1">
      <x:c r="A42" s="16"/>
      <x:c r="B42" s="16"/>
      <x:c r="C42" s="16"/>
      <x:c r="D42" s="16"/>
      <x:c r="E42" s="19"/>
      <x:c r="F42" s="16"/>
      <x:c r="G42" s="21"/>
      <x:c r="H42" s="21"/>
    </x:row>
    <x:row r="43" ht="28" customHeight="1">
      <x:c r="A43" s="2"/>
      <x:c r="B43" s="2"/>
      <x:c r="C43" s="2"/>
      <x:c r="D43" s="2"/>
      <x:c r="E43" s="19"/>
      <x:c r="F43" s="2"/>
      <x:c r="G43" s="22"/>
      <x:c r="H43" s="22"/>
    </x:row>
    <x:row r="44" ht="28" customHeight="1">
      <x:c r="A44" s="16"/>
      <x:c r="B44" s="16"/>
      <x:c r="C44" s="16"/>
      <x:c r="D44" s="16"/>
      <x:c r="E44" s="19"/>
      <x:c r="F44" s="16"/>
      <x:c r="G44" s="21"/>
      <x:c r="H44" s="21"/>
    </x:row>
    <x:row r="45" ht="28" customHeight="1">
      <x:c r="A45" s="2"/>
      <x:c r="B45" s="2"/>
      <x:c r="C45" s="2"/>
      <x:c r="D45" s="2"/>
      <x:c r="E45" s="19"/>
      <x:c r="F45" s="2"/>
      <x:c r="G45" s="22"/>
      <x:c r="H45" s="22"/>
    </x:row>
    <x:row r="46" ht="28" customHeight="1">
      <x:c r="A46" s="16"/>
      <x:c r="B46" s="16"/>
      <x:c r="C46" s="16"/>
      <x:c r="D46" s="16"/>
      <x:c r="E46" s="19"/>
      <x:c r="F46" s="16"/>
      <x:c r="G46" s="21"/>
      <x:c r="H46" s="21"/>
    </x:row>
    <x:row r="47" ht="28" customHeight="1">
      <x:c r="A47" s="2"/>
      <x:c r="B47" s="2"/>
      <x:c r="C47" s="2"/>
      <x:c r="D47" s="2"/>
      <x:c r="E47" s="19"/>
      <x:c r="F47" s="2"/>
      <x:c r="G47" s="22"/>
      <x:c r="H47" s="22"/>
    </x:row>
    <x:row r="48" ht="28" customHeight="1">
      <x:c r="A48" s="16"/>
      <x:c r="B48" s="16"/>
      <x:c r="C48" s="16"/>
      <x:c r="D48" s="16"/>
      <x:c r="E48" s="19"/>
      <x:c r="F48" s="16"/>
      <x:c r="G48" s="21"/>
      <x:c r="H48" s="21"/>
    </x:row>
    <x:row r="49" ht="28" customHeight="1">
      <x:c r="A49" s="2"/>
      <x:c r="B49" s="2"/>
      <x:c r="C49" s="2"/>
      <x:c r="D49" s="2"/>
      <x:c r="E49" s="19"/>
      <x:c r="F49" s="2"/>
      <x:c r="G49" s="22"/>
      <x:c r="H49" s="22"/>
    </x:row>
    <x:row r="50" ht="28" customHeight="1">
      <x:c r="A50" s="16"/>
      <x:c r="B50" s="16"/>
      <x:c r="C50" s="16"/>
      <x:c r="D50" s="16"/>
      <x:c r="E50" s="19"/>
      <x:c r="F50" s="16"/>
      <x:c r="G50" s="21"/>
      <x:c r="H50" s="21"/>
    </x:row>
    <x:row r="51" ht="28" customHeight="1">
      <x:c r="A51" s="2"/>
      <x:c r="B51" s="2"/>
      <x:c r="C51" s="2"/>
      <x:c r="D51" s="2"/>
      <x:c r="E51" s="19"/>
      <x:c r="F51" s="2"/>
      <x:c r="G51" s="22"/>
      <x:c r="H51" s="22"/>
    </x:row>
    <x:row r="52" ht="28" customHeight="1">
      <x:c r="A52" s="16"/>
      <x:c r="B52" s="16"/>
      <x:c r="C52" s="16"/>
      <x:c r="D52" s="16"/>
      <x:c r="E52" s="19"/>
      <x:c r="F52" s="16"/>
      <x:c r="G52" s="21"/>
      <x:c r="H52" s="21"/>
    </x:row>
    <x:row r="53" ht="28" customHeight="1">
      <x:c r="A53" s="2"/>
      <x:c r="B53" s="2"/>
      <x:c r="C53" s="2"/>
      <x:c r="D53" s="2"/>
      <x:c r="E53" s="19"/>
      <x:c r="F53" s="2"/>
      <x:c r="G53" s="22"/>
      <x:c r="H53" s="22"/>
    </x:row>
    <x:row r="54" ht="28" customHeight="1">
      <x:c r="A54" s="16"/>
      <x:c r="B54" s="16"/>
      <x:c r="C54" s="16"/>
      <x:c r="D54" s="16"/>
      <x:c r="E54" s="19"/>
      <x:c r="F54" s="16"/>
      <x:c r="G54" s="21"/>
      <x:c r="H54" s="21"/>
    </x:row>
    <x:row r="55" ht="28" customHeight="1">
      <x:c r="A55" s="2"/>
      <x:c r="B55" s="2"/>
      <x:c r="C55" s="2"/>
      <x:c r="D55" s="2"/>
      <x:c r="E55" s="19"/>
      <x:c r="F55" s="2"/>
      <x:c r="G55" s="22"/>
      <x:c r="H55" s="22"/>
    </x:row>
    <x:row r="56" ht="28" customHeight="1">
      <x:c r="A56" s="16"/>
      <x:c r="B56" s="16"/>
      <x:c r="C56" s="16"/>
      <x:c r="D56" s="16"/>
      <x:c r="E56" s="19"/>
      <x:c r="F56" s="16"/>
      <x:c r="G56" s="21"/>
      <x:c r="H56" s="21"/>
    </x:row>
    <x:row r="57" ht="28" customHeight="1">
      <x:c r="A57" s="2"/>
      <x:c r="B57" s="2"/>
      <x:c r="C57" s="2"/>
      <x:c r="D57" s="2"/>
      <x:c r="E57" s="19"/>
      <x:c r="F57" s="2"/>
      <x:c r="G57" s="22"/>
      <x:c r="H57" s="22"/>
    </x:row>
    <x:row r="58" ht="28" customHeight="1">
      <x:c r="A58" s="16"/>
      <x:c r="B58" s="16"/>
      <x:c r="C58" s="16"/>
      <x:c r="D58" s="16"/>
      <x:c r="E58" s="19"/>
      <x:c r="F58" s="16"/>
      <x:c r="G58" s="21"/>
      <x:c r="H58" s="21"/>
    </x:row>
    <x:row r="59" ht="28" customHeight="1">
      <x:c r="A59" s="2"/>
      <x:c r="B59" s="2"/>
      <x:c r="C59" s="2"/>
      <x:c r="D59" s="2"/>
      <x:c r="E59" s="19"/>
      <x:c r="F59" s="2"/>
      <x:c r="G59" s="22"/>
      <x:c r="H59" s="22"/>
    </x:row>
    <x:row r="60" ht="28" customHeight="1">
      <x:c r="A60" s="16"/>
      <x:c r="B60" s="16"/>
      <x:c r="C60" s="16"/>
      <x:c r="D60" s="16"/>
      <x:c r="E60" s="19"/>
      <x:c r="F60" s="16"/>
      <x:c r="G60" s="21"/>
      <x:c r="H60" s="21"/>
    </x:row>
    <x:row r="61" ht="28" customHeight="1">
      <x:c r="A61" s="2"/>
      <x:c r="B61" s="2"/>
      <x:c r="C61" s="2"/>
      <x:c r="D61" s="2"/>
      <x:c r="E61" s="19"/>
      <x:c r="F61" s="2"/>
      <x:c r="G61" s="22"/>
      <x:c r="H61" s="22"/>
    </x:row>
    <x:row r="62" ht="28" customHeight="1">
      <x:c r="A62" s="16"/>
      <x:c r="B62" s="16"/>
      <x:c r="C62" s="16"/>
      <x:c r="D62" s="16"/>
      <x:c r="E62" s="19"/>
      <x:c r="F62" s="16"/>
      <x:c r="G62" s="21"/>
      <x:c r="H62" s="21"/>
    </x:row>
    <x:row r="63" ht="28" customHeight="1">
      <x:c r="A63" s="2"/>
      <x:c r="B63" s="2"/>
      <x:c r="C63" s="2"/>
      <x:c r="D63" s="2"/>
      <x:c r="E63" s="19"/>
      <x:c r="F63" s="2"/>
      <x:c r="G63" s="22"/>
      <x:c r="H63" s="22"/>
    </x:row>
    <x:row r="64" ht="28" customHeight="1">
      <x:c r="A64" s="16"/>
      <x:c r="B64" s="16"/>
      <x:c r="C64" s="16"/>
      <x:c r="D64" s="16"/>
      <x:c r="E64" s="19"/>
      <x:c r="F64" s="16"/>
      <x:c r="G64" s="21"/>
      <x:c r="H64" s="21"/>
    </x:row>
    <x:row r="65" ht="28" customHeight="1">
      <x:c r="A65" s="2"/>
      <x:c r="B65" s="2"/>
      <x:c r="C65" s="2"/>
      <x:c r="D65" s="2"/>
      <x:c r="E65" s="19"/>
      <x:c r="F65" s="2"/>
      <x:c r="G65" s="22"/>
      <x:c r="H65" s="22"/>
    </x:row>
    <x:row r="66" ht="28" customHeight="1">
      <x:c r="A66" s="16"/>
      <x:c r="B66" s="16"/>
      <x:c r="C66" s="16"/>
      <x:c r="D66" s="16"/>
      <x:c r="E66" s="19"/>
      <x:c r="F66" s="16"/>
      <x:c r="G66" s="21"/>
      <x:c r="H66" s="21"/>
    </x:row>
    <x:row r="67" ht="28" customHeight="1">
      <x:c r="A67" s="2"/>
      <x:c r="B67" s="2"/>
      <x:c r="C67" s="2"/>
      <x:c r="D67" s="2"/>
      <x:c r="E67" s="19"/>
      <x:c r="F67" s="2"/>
      <x:c r="G67" s="22"/>
      <x:c r="H67" s="22"/>
    </x:row>
    <x:row r="68" ht="28" customHeight="1">
      <x:c r="A68" s="16"/>
      <x:c r="B68" s="16"/>
      <x:c r="C68" s="16"/>
      <x:c r="D68" s="16"/>
      <x:c r="E68" s="19"/>
      <x:c r="F68" s="16"/>
      <x:c r="G68" s="21"/>
      <x:c r="H68" s="21"/>
    </x:row>
    <x:row r="69" ht="28" customHeight="1">
      <x:c r="A69" s="2"/>
      <x:c r="B69" s="2"/>
      <x:c r="C69" s="2"/>
      <x:c r="D69" s="2"/>
      <x:c r="E69" s="19"/>
      <x:c r="F69" s="2"/>
      <x:c r="G69" s="22"/>
      <x:c r="H69" s="22"/>
    </x:row>
    <x:row r="70" ht="28" customHeight="1">
      <x:c r="A70" s="16"/>
      <x:c r="B70" s="16"/>
      <x:c r="C70" s="16"/>
      <x:c r="D70" s="16"/>
      <x:c r="E70" s="19"/>
      <x:c r="F70" s="16"/>
      <x:c r="G70" s="21"/>
      <x:c r="H70" s="21"/>
    </x:row>
    <x:row r="71" ht="28" customHeight="1">
      <x:c r="A71" s="2"/>
      <x:c r="B71" s="2"/>
      <x:c r="C71" s="2"/>
      <x:c r="D71" s="2"/>
      <x:c r="E71" s="19"/>
      <x:c r="F71" s="2"/>
      <x:c r="G71" s="22"/>
      <x:c r="H71" s="22"/>
    </x:row>
    <x:row r="72" ht="28" customHeight="1">
      <x:c r="A72" s="16"/>
      <x:c r="B72" s="16"/>
      <x:c r="C72" s="16"/>
      <x:c r="D72" s="16"/>
      <x:c r="E72" s="19"/>
      <x:c r="F72" s="16"/>
      <x:c r="G72" s="21"/>
      <x:c r="H72" s="21"/>
    </x:row>
    <x:row r="73" ht="28" customHeight="1">
      <x:c r="A73" s="2"/>
      <x:c r="B73" s="2"/>
      <x:c r="C73" s="2"/>
      <x:c r="D73" s="2"/>
      <x:c r="E73" s="19"/>
      <x:c r="F73" s="2"/>
      <x:c r="G73" s="22"/>
      <x:c r="H73" s="22"/>
    </x:row>
    <x:row r="74" ht="28" customHeight="1">
      <x:c r="A74" s="16"/>
      <x:c r="B74" s="16"/>
      <x:c r="C74" s="16"/>
      <x:c r="D74" s="16"/>
      <x:c r="E74" s="19"/>
      <x:c r="F74" s="16"/>
      <x:c r="G74" s="21"/>
      <x:c r="H74" s="21"/>
    </x:row>
    <x:row r="75" ht="28" customHeight="1">
      <x:c r="A75" s="2"/>
      <x:c r="B75" s="2"/>
      <x:c r="C75" s="2"/>
      <x:c r="D75" s="2"/>
      <x:c r="E75" s="19"/>
      <x:c r="F75" s="2"/>
      <x:c r="G75" s="22"/>
      <x:c r="H75" s="22"/>
    </x:row>
    <x:row r="76" ht="28" customHeight="1">
      <x:c r="A76" s="16"/>
      <x:c r="B76" s="16"/>
      <x:c r="C76" s="16"/>
      <x:c r="D76" s="16"/>
      <x:c r="E76" s="19"/>
      <x:c r="F76" s="16"/>
      <x:c r="G76" s="21"/>
      <x:c r="H76" s="21"/>
    </x:row>
    <x:row r="77" ht="28" customHeight="1">
      <x:c r="A77" s="2"/>
      <x:c r="B77" s="2"/>
      <x:c r="C77" s="2"/>
      <x:c r="D77" s="2"/>
      <x:c r="E77" s="19"/>
      <x:c r="F77" s="2"/>
      <x:c r="G77" s="22"/>
      <x:c r="H77" s="22"/>
    </x:row>
    <x:row r="78" ht="28" customHeight="1">
      <x:c r="A78" s="16"/>
      <x:c r="B78" s="16"/>
      <x:c r="C78" s="16"/>
      <x:c r="D78" s="16"/>
      <x:c r="E78" s="19"/>
      <x:c r="F78" s="16"/>
      <x:c r="G78" s="21"/>
      <x:c r="H78" s="21"/>
    </x:row>
    <x:row r="79" ht="28" customHeight="1">
      <x:c r="A79" s="2"/>
      <x:c r="B79" s="2"/>
      <x:c r="C79" s="2"/>
      <x:c r="D79" s="2"/>
      <x:c r="E79" s="19"/>
      <x:c r="F79" s="2"/>
      <x:c r="G79" s="22"/>
      <x:c r="H79" s="22"/>
    </x:row>
    <x:row r="80" ht="28" customHeight="1">
      <x:c r="A80" s="16"/>
      <x:c r="B80" s="16"/>
      <x:c r="C80" s="16"/>
      <x:c r="D80" s="16"/>
      <x:c r="E80" s="19"/>
      <x:c r="F80" s="16"/>
      <x:c r="G80" s="21"/>
      <x:c r="H80" s="21"/>
    </x:row>
    <x:row r="81" ht="28" customHeight="1">
      <x:c r="A81" s="2"/>
      <x:c r="B81" s="2"/>
      <x:c r="C81" s="2"/>
      <x:c r="D81" s="2"/>
      <x:c r="E81" s="19"/>
      <x:c r="F81" s="2"/>
      <x:c r="G81" s="22"/>
      <x:c r="H81" s="22"/>
    </x:row>
    <x:row r="82" ht="28" customHeight="1">
      <x:c r="A82" s="16"/>
      <x:c r="B82" s="16"/>
      <x:c r="C82" s="16"/>
      <x:c r="D82" s="16"/>
      <x:c r="E82" s="19"/>
      <x:c r="F82" s="16"/>
      <x:c r="G82" s="21"/>
      <x:c r="H82" s="21"/>
    </x:row>
    <x:row r="83" ht="28" customHeight="1">
      <x:c r="A83" s="2"/>
      <x:c r="B83" s="2"/>
      <x:c r="C83" s="2"/>
      <x:c r="D83" s="2"/>
      <x:c r="E83" s="19"/>
      <x:c r="F83" s="2"/>
      <x:c r="G83" s="22"/>
      <x:c r="H83" s="22"/>
    </x:row>
    <x:row r="84" ht="28" customHeight="1">
      <x:c r="A84" s="16"/>
      <x:c r="B84" s="16"/>
      <x:c r="C84" s="16"/>
      <x:c r="D84" s="16"/>
      <x:c r="E84" s="19"/>
      <x:c r="F84" s="16"/>
      <x:c r="G84" s="21"/>
      <x:c r="H84" s="21"/>
    </x:row>
    <x:row r="85" ht="28" customHeight="1">
      <x:c r="A85" s="2"/>
      <x:c r="B85" s="2"/>
      <x:c r="C85" s="2"/>
      <x:c r="D85" s="2"/>
      <x:c r="E85" s="19"/>
      <x:c r="F85" s="2"/>
      <x:c r="G85" s="22"/>
      <x:c r="H85" s="22"/>
    </x:row>
    <x:row r="86" ht="28" customHeight="1">
      <x:c r="A86" s="16"/>
      <x:c r="B86" s="16"/>
      <x:c r="C86" s="16"/>
      <x:c r="D86" s="16"/>
      <x:c r="E86" s="19"/>
      <x:c r="F86" s="16"/>
      <x:c r="G86" s="21"/>
      <x:c r="H86" s="21"/>
    </x:row>
    <x:row r="87" ht="28" customHeight="1">
      <x:c r="A87" s="2"/>
      <x:c r="B87" s="2"/>
      <x:c r="C87" s="2"/>
      <x:c r="D87" s="2"/>
      <x:c r="E87" s="19"/>
      <x:c r="F87" s="2"/>
      <x:c r="G87" s="22"/>
      <x:c r="H87" s="22"/>
    </x:row>
    <x:row r="88" ht="28" customHeight="1">
      <x:c r="A88" s="16"/>
      <x:c r="B88" s="16"/>
      <x:c r="C88" s="16"/>
      <x:c r="D88" s="16"/>
      <x:c r="E88" s="19"/>
      <x:c r="F88" s="16"/>
      <x:c r="G88" s="21"/>
      <x:c r="H88" s="21"/>
    </x:row>
    <x:row r="89" ht="28" customHeight="1">
      <x:c r="A89" s="2"/>
      <x:c r="B89" s="2"/>
      <x:c r="C89" s="2"/>
      <x:c r="D89" s="2"/>
      <x:c r="E89" s="19"/>
      <x:c r="F89" s="2"/>
      <x:c r="G89" s="22"/>
      <x:c r="H89" s="22"/>
    </x:row>
    <x:row r="90" ht="28" customHeight="1">
      <x:c r="A90" s="16"/>
      <x:c r="B90" s="16"/>
      <x:c r="C90" s="16"/>
      <x:c r="D90" s="16"/>
      <x:c r="E90" s="19"/>
      <x:c r="F90" s="16"/>
      <x:c r="G90" s="21"/>
      <x:c r="H90" s="21"/>
    </x:row>
    <x:row r="91" ht="28" customHeight="1">
      <x:c r="A91" s="2"/>
      <x:c r="B91" s="2"/>
      <x:c r="C91" s="2"/>
      <x:c r="D91" s="2"/>
      <x:c r="E91" s="19"/>
      <x:c r="F91" s="2"/>
      <x:c r="G91" s="22"/>
      <x:c r="H91" s="22"/>
    </x:row>
    <x:row r="92" ht="28" customHeight="1">
      <x:c r="A92" s="16"/>
      <x:c r="B92" s="16"/>
      <x:c r="C92" s="16"/>
      <x:c r="D92" s="16"/>
      <x:c r="E92" s="19"/>
      <x:c r="F92" s="16"/>
      <x:c r="G92" s="21"/>
      <x:c r="H92" s="21"/>
    </x:row>
    <x:row r="93" ht="28" customHeight="1">
      <x:c r="A93" s="2"/>
      <x:c r="B93" s="2"/>
      <x:c r="C93" s="2"/>
      <x:c r="D93" s="2"/>
      <x:c r="E93" s="19"/>
      <x:c r="F93" s="2"/>
      <x:c r="G93" s="22"/>
      <x:c r="H93" s="22"/>
    </x:row>
    <x:row r="94" ht="28" customHeight="1">
      <x:c r="A94" s="16"/>
      <x:c r="B94" s="16"/>
      <x:c r="C94" s="16"/>
      <x:c r="D94" s="16"/>
      <x:c r="E94" s="19"/>
      <x:c r="F94" s="16"/>
      <x:c r="G94" s="21"/>
      <x:c r="H94" s="21"/>
    </x:row>
    <x:row r="95" ht="28" customHeight="1">
      <x:c r="A95" s="2"/>
      <x:c r="B95" s="2"/>
      <x:c r="C95" s="2"/>
      <x:c r="D95" s="2"/>
      <x:c r="E95" s="19"/>
      <x:c r="F95" s="2"/>
      <x:c r="G95" s="22"/>
      <x:c r="H95" s="22"/>
    </x:row>
    <x:row r="96" ht="28" customHeight="1">
      <x:c r="A96" s="16"/>
      <x:c r="B96" s="16"/>
      <x:c r="C96" s="16"/>
      <x:c r="D96" s="16"/>
      <x:c r="E96" s="19"/>
      <x:c r="F96" s="16"/>
      <x:c r="G96" s="21"/>
      <x:c r="H96" s="21"/>
    </x:row>
    <x:row r="97" ht="28" customHeight="1">
      <x:c r="A97" s="2"/>
      <x:c r="B97" s="2"/>
      <x:c r="C97" s="2"/>
      <x:c r="D97" s="2"/>
      <x:c r="E97" s="19"/>
      <x:c r="F97" s="2"/>
      <x:c r="G97" s="22"/>
      <x:c r="H97" s="22"/>
    </x:row>
    <x:row r="98" ht="28" customHeight="1">
      <x:c r="A98" s="16"/>
      <x:c r="B98" s="16"/>
      <x:c r="C98" s="16"/>
      <x:c r="D98" s="16"/>
      <x:c r="E98" s="19"/>
      <x:c r="F98" s="16"/>
      <x:c r="G98" s="21"/>
      <x:c r="H98" s="21"/>
    </x:row>
    <x:row r="99" ht="28" customHeight="1">
      <x:c r="A99" s="2"/>
      <x:c r="B99" s="2"/>
      <x:c r="C99" s="2"/>
      <x:c r="D99" s="2"/>
      <x:c r="E99" s="19"/>
      <x:c r="F99" s="2"/>
      <x:c r="G99" s="22"/>
      <x:c r="H99" s="22"/>
    </x:row>
    <x:row r="100" ht="28" customHeight="1">
      <x:c r="A100" s="16"/>
      <x:c r="B100" s="16"/>
      <x:c r="C100" s="16"/>
      <x:c r="D100" s="16"/>
      <x:c r="E100" s="19"/>
      <x:c r="F100" s="16"/>
      <x:c r="G100" s="21"/>
      <x:c r="H100" s="21"/>
    </x:row>
    <x:row r="101" ht="28" customHeight="1">
      <x:c r="A101" s="2"/>
      <x:c r="B101" s="2"/>
      <x:c r="C101" s="2"/>
      <x:c r="D101" s="2"/>
      <x:c r="E101" s="19"/>
      <x:c r="F101" s="2"/>
      <x:c r="G101" s="22"/>
      <x:c r="H101" s="22"/>
    </x:row>
    <x:row r="102" ht="28" customHeight="1">
      <x:c r="A102" s="16"/>
      <x:c r="B102" s="16"/>
      <x:c r="C102" s="16"/>
      <x:c r="D102" s="16"/>
      <x:c r="E102" s="19"/>
      <x:c r="F102" s="16"/>
      <x:c r="G102" s="21"/>
      <x:c r="H102" s="21"/>
    </x:row>
    <x:row r="103" ht="28" customHeight="1">
      <x:c r="A103" s="2"/>
      <x:c r="B103" s="2"/>
      <x:c r="C103" s="2"/>
      <x:c r="D103" s="2"/>
      <x:c r="E103" s="19"/>
      <x:c r="F103" s="2"/>
      <x:c r="G103" s="22"/>
      <x:c r="H103" s="22"/>
    </x:row>
    <x:row r="104" ht="28" customHeight="1">
      <x:c r="A104" s="16"/>
      <x:c r="B104" s="16"/>
      <x:c r="C104" s="16"/>
      <x:c r="D104" s="16"/>
      <x:c r="E104" s="19"/>
      <x:c r="F104" s="16"/>
      <x:c r="G104" s="21"/>
      <x:c r="H104" s="21"/>
    </x:row>
    <x:row r="105" ht="28" customHeight="1">
      <x:c r="A105" s="2"/>
      <x:c r="B105" s="2"/>
      <x:c r="C105" s="2"/>
      <x:c r="D105" s="2"/>
      <x:c r="E105" s="19"/>
      <x:c r="F105" s="2"/>
      <x:c r="G105" s="22"/>
      <x:c r="H105" s="22"/>
    </x:row>
    <x:row r="106" ht="28" customHeight="1">
      <x:c r="A106" s="16"/>
      <x:c r="B106" s="16"/>
      <x:c r="C106" s="16"/>
      <x:c r="D106" s="16"/>
      <x:c r="E106" s="19"/>
      <x:c r="F106" s="16"/>
      <x:c r="G106" s="21"/>
      <x:c r="H106" s="21"/>
    </x:row>
    <x:row r="107" ht="28" customHeight="1">
      <x:c r="A107" s="2"/>
      <x:c r="B107" s="2"/>
      <x:c r="C107" s="2"/>
      <x:c r="D107" s="2"/>
      <x:c r="E107" s="19"/>
      <x:c r="F107" s="2"/>
      <x:c r="G107" s="22"/>
      <x:c r="H107" s="22"/>
    </x:row>
    <x:row r="108" ht="28" customHeight="1">
      <x:c r="A108" s="16"/>
      <x:c r="B108" s="16"/>
      <x:c r="C108" s="16"/>
      <x:c r="D108" s="16"/>
      <x:c r="E108" s="19"/>
      <x:c r="F108" s="16"/>
      <x:c r="G108" s="21"/>
      <x:c r="H108" s="21"/>
    </x:row>
    <x:row r="109" ht="28" customHeight="1">
      <x:c r="A109" s="2"/>
      <x:c r="B109" s="2"/>
      <x:c r="C109" s="2"/>
      <x:c r="D109" s="2"/>
      <x:c r="E109" s="19"/>
      <x:c r="F109" s="2"/>
      <x:c r="G109" s="22"/>
      <x:c r="H109" s="22"/>
    </x:row>
    <x:row r="110" ht="28" customHeight="1">
      <x:c r="A110" s="16"/>
      <x:c r="B110" s="16"/>
      <x:c r="C110" s="16"/>
      <x:c r="D110" s="16"/>
      <x:c r="E110" s="19"/>
      <x:c r="F110" s="16"/>
      <x:c r="G110" s="21"/>
      <x:c r="H110" s="21"/>
    </x:row>
    <x:row r="111" ht="28" customHeight="1">
      <x:c r="A111" s="2"/>
      <x:c r="B111" s="2"/>
      <x:c r="C111" s="2"/>
      <x:c r="D111" s="2"/>
      <x:c r="E111" s="19"/>
      <x:c r="F111" s="2"/>
      <x:c r="G111" s="22"/>
      <x:c r="H111" s="22"/>
    </x:row>
    <x:row r="112" ht="28" customHeight="1">
      <x:c r="A112" s="16"/>
      <x:c r="B112" s="16"/>
      <x:c r="C112" s="16"/>
      <x:c r="D112" s="16"/>
      <x:c r="E112" s="19"/>
      <x:c r="F112" s="16"/>
      <x:c r="G112" s="21"/>
      <x:c r="H112" s="21"/>
    </x:row>
    <x:row r="113" ht="28" customHeight="1">
      <x:c r="A113" s="2"/>
      <x:c r="B113" s="2"/>
      <x:c r="C113" s="2"/>
      <x:c r="D113" s="2"/>
      <x:c r="E113" s="19"/>
      <x:c r="F113" s="2"/>
      <x:c r="G113" s="22"/>
      <x:c r="H113" s="22"/>
    </x:row>
    <x:row r="114" ht="28" customHeight="1">
      <x:c r="A114" s="16"/>
      <x:c r="B114" s="16"/>
      <x:c r="C114" s="16"/>
      <x:c r="D114" s="16"/>
      <x:c r="E114" s="19"/>
      <x:c r="F114" s="16"/>
      <x:c r="G114" s="21"/>
      <x:c r="H114" s="21"/>
    </x:row>
    <x:row r="115" ht="28" customHeight="1">
      <x:c r="A115" s="2"/>
      <x:c r="B115" s="2"/>
      <x:c r="C115" s="2"/>
      <x:c r="D115" s="2"/>
      <x:c r="E115" s="19"/>
      <x:c r="F115" s="2"/>
      <x:c r="G115" s="22"/>
      <x:c r="H115" s="22"/>
    </x:row>
    <x:row r="116" ht="28" customHeight="1">
      <x:c r="A116" s="16"/>
      <x:c r="B116" s="16"/>
      <x:c r="C116" s="16"/>
      <x:c r="D116" s="16"/>
      <x:c r="E116" s="19"/>
      <x:c r="F116" s="16"/>
      <x:c r="G116" s="21"/>
      <x:c r="H116" s="21"/>
    </x:row>
    <x:row r="117" ht="28" customHeight="1">
      <x:c r="A117" s="2"/>
      <x:c r="B117" s="2"/>
      <x:c r="C117" s="2"/>
      <x:c r="D117" s="2"/>
      <x:c r="E117" s="19"/>
      <x:c r="F117" s="2"/>
      <x:c r="G117" s="22"/>
      <x:c r="H117" s="22"/>
    </x:row>
    <x:row r="118" ht="28" customHeight="1">
      <x:c r="A118" s="16"/>
      <x:c r="B118" s="16"/>
      <x:c r="C118" s="16"/>
      <x:c r="D118" s="16"/>
      <x:c r="E118" s="19"/>
      <x:c r="F118" s="16"/>
      <x:c r="G118" s="21"/>
      <x:c r="H118" s="21"/>
    </x:row>
    <x:row r="119" ht="28" customHeight="1">
      <x:c r="A119" s="2"/>
      <x:c r="B119" s="2"/>
      <x:c r="C119" s="2"/>
      <x:c r="D119" s="2"/>
      <x:c r="E119" s="19"/>
      <x:c r="F119" s="2"/>
      <x:c r="G119" s="22"/>
      <x:c r="H119" s="22"/>
    </x:row>
    <x:row r="120" ht="28" customHeight="1">
      <x:c r="A120" s="16"/>
      <x:c r="B120" s="16"/>
      <x:c r="C120" s="16"/>
      <x:c r="D120" s="16"/>
      <x:c r="E120" s="19"/>
      <x:c r="F120" s="16"/>
      <x:c r="G120" s="21"/>
      <x:c r="H120" s="21"/>
    </x:row>
    <x:row r="121" ht="28" customHeight="1">
      <x:c r="A121" s="2"/>
      <x:c r="B121" s="2"/>
      <x:c r="C121" s="2"/>
      <x:c r="D121" s="2"/>
      <x:c r="E121" s="19"/>
      <x:c r="F121" s="2"/>
      <x:c r="G121" s="22"/>
      <x:c r="H121" s="22"/>
    </x:row>
    <x:row r="122" ht="28" customHeight="1">
      <x:c r="A122" s="16"/>
      <x:c r="B122" s="16"/>
      <x:c r="C122" s="16"/>
      <x:c r="D122" s="16"/>
      <x:c r="E122" s="19"/>
      <x:c r="F122" s="16"/>
      <x:c r="G122" s="21"/>
      <x:c r="H122" s="21"/>
    </x:row>
    <x:row r="123" ht="28" customHeight="1">
      <x:c r="A123" s="2"/>
      <x:c r="B123" s="2"/>
      <x:c r="C123" s="2"/>
      <x:c r="D123" s="2"/>
      <x:c r="E123" s="19"/>
      <x:c r="F123" s="2"/>
      <x:c r="G123" s="22"/>
      <x:c r="H123" s="22"/>
    </x:row>
    <x:row r="124" ht="28" customHeight="1">
      <x:c r="A124" s="16"/>
      <x:c r="B124" s="16"/>
      <x:c r="C124" s="16"/>
      <x:c r="D124" s="16"/>
      <x:c r="E124" s="19"/>
      <x:c r="F124" s="16"/>
      <x:c r="G124" s="21"/>
      <x:c r="H124" s="21"/>
    </x:row>
    <x:row r="125" ht="28" customHeight="1">
      <x:c r="A125" s="2"/>
      <x:c r="B125" s="2"/>
      <x:c r="C125" s="2"/>
      <x:c r="D125" s="2"/>
      <x:c r="E125" s="19"/>
      <x:c r="F125" s="2"/>
      <x:c r="G125" s="22"/>
      <x:c r="H125" s="22"/>
    </x:row>
    <x:row r="126" ht="28" customHeight="1">
      <x:c r="A126" s="16"/>
      <x:c r="B126" s="16"/>
      <x:c r="C126" s="16"/>
      <x:c r="D126" s="16"/>
      <x:c r="E126" s="19"/>
      <x:c r="F126" s="16"/>
      <x:c r="G126" s="21"/>
      <x:c r="H126" s="21"/>
    </x:row>
    <x:row r="127" ht="28" customHeight="1">
      <x:c r="A127" s="2"/>
      <x:c r="B127" s="2"/>
      <x:c r="C127" s="2"/>
      <x:c r="D127" s="2"/>
      <x:c r="E127" s="19"/>
      <x:c r="F127" s="2"/>
      <x:c r="G127" s="22"/>
      <x:c r="H127" s="22"/>
    </x:row>
    <x:row r="128" ht="28" customHeight="1">
      <x:c r="A128" s="16"/>
      <x:c r="B128" s="16"/>
      <x:c r="C128" s="16"/>
      <x:c r="D128" s="16"/>
      <x:c r="E128" s="19"/>
      <x:c r="F128" s="16"/>
      <x:c r="G128" s="21"/>
      <x:c r="H128" s="21"/>
    </x:row>
    <x:row r="129" ht="28" customHeight="1">
      <x:c r="A129" s="2"/>
      <x:c r="B129" s="2"/>
      <x:c r="C129" s="2"/>
      <x:c r="D129" s="2"/>
      <x:c r="E129" s="19"/>
      <x:c r="F129" s="2"/>
      <x:c r="G129" s="22"/>
      <x:c r="H129" s="22"/>
    </x:row>
    <x:row r="130" ht="28" customHeight="1">
      <x:c r="A130" s="16"/>
      <x:c r="B130" s="16"/>
      <x:c r="C130" s="16"/>
      <x:c r="D130" s="16"/>
      <x:c r="E130" s="19"/>
      <x:c r="F130" s="16"/>
      <x:c r="G130" s="21"/>
      <x:c r="H130" s="21"/>
    </x:row>
    <x:row r="131" ht="28" customHeight="1">
      <x:c r="A131" s="2"/>
      <x:c r="B131" s="2"/>
      <x:c r="C131" s="2"/>
      <x:c r="D131" s="2"/>
      <x:c r="E131" s="19"/>
      <x:c r="F131" s="2"/>
      <x:c r="G131" s="22"/>
      <x:c r="H131" s="22"/>
    </x:row>
    <x:row r="132" ht="28" customHeight="1">
      <x:c r="A132" s="16"/>
      <x:c r="B132" s="16"/>
      <x:c r="C132" s="16"/>
      <x:c r="D132" s="16"/>
      <x:c r="E132" s="19"/>
      <x:c r="F132" s="16"/>
      <x:c r="G132" s="21"/>
      <x:c r="H132" s="21"/>
    </x:row>
    <x:row r="133" ht="28" customHeight="1">
      <x:c r="A133" s="2"/>
      <x:c r="B133" s="2"/>
      <x:c r="C133" s="2"/>
      <x:c r="D133" s="2"/>
      <x:c r="E133" s="19"/>
      <x:c r="F133" s="2"/>
      <x:c r="G133" s="22"/>
      <x:c r="H133" s="22"/>
    </x:row>
    <x:row r="134" ht="28" customHeight="1">
      <x:c r="A134" s="16"/>
      <x:c r="B134" s="16"/>
      <x:c r="C134" s="16"/>
      <x:c r="D134" s="16"/>
      <x:c r="E134" s="19"/>
      <x:c r="F134" s="16"/>
      <x:c r="G134" s="21"/>
      <x:c r="H134" s="21"/>
    </x:row>
    <x:row r="135" ht="28" customHeight="1">
      <x:c r="A135" s="2"/>
      <x:c r="B135" s="2"/>
      <x:c r="C135" s="2"/>
      <x:c r="D135" s="2"/>
      <x:c r="E135" s="19"/>
      <x:c r="F135" s="2"/>
      <x:c r="G135" s="22"/>
      <x:c r="H135" s="22"/>
    </x:row>
    <x:row r="136" ht="28" customHeight="1">
      <x:c r="A136" s="16"/>
      <x:c r="B136" s="16"/>
      <x:c r="C136" s="16"/>
      <x:c r="D136" s="16"/>
      <x:c r="E136" s="19"/>
      <x:c r="F136" s="16"/>
      <x:c r="G136" s="21"/>
      <x:c r="H136" s="21"/>
    </x:row>
    <x:row r="137" ht="28" customHeight="1">
      <x:c r="A137" s="2"/>
      <x:c r="B137" s="2"/>
      <x:c r="C137" s="2"/>
      <x:c r="D137" s="2"/>
      <x:c r="E137" s="19"/>
      <x:c r="F137" s="2"/>
      <x:c r="G137" s="22"/>
      <x:c r="H137" s="22"/>
    </x:row>
    <x:row r="138" ht="28" customHeight="1">
      <x:c r="A138" s="16"/>
      <x:c r="B138" s="16"/>
      <x:c r="C138" s="16"/>
      <x:c r="D138" s="16"/>
      <x:c r="E138" s="19"/>
      <x:c r="F138" s="16"/>
      <x:c r="G138" s="21"/>
      <x:c r="H138" s="21"/>
    </x:row>
    <x:row r="139" ht="28" customHeight="1">
      <x:c r="A139" s="2"/>
      <x:c r="B139" s="2"/>
      <x:c r="C139" s="2"/>
      <x:c r="D139" s="2"/>
      <x:c r="E139" s="19"/>
      <x:c r="F139" s="2"/>
      <x:c r="G139" s="22"/>
      <x:c r="H139" s="22"/>
    </x:row>
    <x:row r="140" ht="28" customHeight="1">
      <x:c r="A140" s="16"/>
      <x:c r="B140" s="16"/>
      <x:c r="C140" s="16"/>
      <x:c r="D140" s="16"/>
      <x:c r="E140" s="19"/>
      <x:c r="F140" s="16"/>
      <x:c r="G140" s="21"/>
      <x:c r="H140" s="21"/>
    </x:row>
    <x:row r="141" ht="28" customHeight="1">
      <x:c r="A141" s="2"/>
      <x:c r="B141" s="2"/>
      <x:c r="C141" s="2"/>
      <x:c r="D141" s="2"/>
      <x:c r="E141" s="19"/>
      <x:c r="F141" s="2"/>
      <x:c r="G141" s="22"/>
      <x:c r="H141" s="22"/>
    </x:row>
    <x:row r="142" ht="28" customHeight="1">
      <x:c r="A142" s="16"/>
      <x:c r="B142" s="16"/>
      <x:c r="C142" s="16"/>
      <x:c r="D142" s="16"/>
      <x:c r="E142" s="19"/>
      <x:c r="F142" s="16"/>
      <x:c r="G142" s="21"/>
      <x:c r="H142" s="21"/>
    </x:row>
    <x:row r="143" ht="28" customHeight="1">
      <x:c r="A143" s="2"/>
      <x:c r="B143" s="2"/>
      <x:c r="C143" s="2"/>
      <x:c r="D143" s="2"/>
      <x:c r="E143" s="19"/>
      <x:c r="F143" s="2"/>
      <x:c r="G143" s="22"/>
      <x:c r="H143" s="22"/>
    </x:row>
    <x:row r="144" ht="28" customHeight="1">
      <x:c r="A144" s="16"/>
      <x:c r="B144" s="16"/>
      <x:c r="C144" s="16"/>
      <x:c r="D144" s="16"/>
      <x:c r="E144" s="19"/>
      <x:c r="F144" s="16"/>
      <x:c r="G144" s="21"/>
      <x:c r="H144" s="21"/>
    </x:row>
    <x:row r="145" ht="28" customHeight="1">
      <x:c r="A145" s="2"/>
      <x:c r="B145" s="2"/>
      <x:c r="C145" s="2"/>
      <x:c r="D145" s="2"/>
      <x:c r="E145" s="19"/>
      <x:c r="F145" s="2"/>
      <x:c r="G145" s="22"/>
      <x:c r="H145" s="22"/>
    </x:row>
    <x:row r="146" ht="28" customHeight="1">
      <x:c r="A146" s="16"/>
      <x:c r="B146" s="16"/>
      <x:c r="C146" s="16"/>
      <x:c r="D146" s="16"/>
      <x:c r="E146" s="19"/>
      <x:c r="F146" s="16"/>
      <x:c r="G146" s="21"/>
      <x:c r="H146" s="21"/>
    </x:row>
    <x:row r="147" ht="28" customHeight="1">
      <x:c r="A147" s="2"/>
      <x:c r="B147" s="2"/>
      <x:c r="C147" s="2"/>
      <x:c r="D147" s="2"/>
      <x:c r="E147" s="19"/>
      <x:c r="F147" s="2"/>
      <x:c r="G147" s="22"/>
      <x:c r="H147" s="22"/>
    </x:row>
    <x:row r="148" ht="28" customHeight="1">
      <x:c r="A148" s="16"/>
      <x:c r="B148" s="16"/>
      <x:c r="C148" s="16"/>
      <x:c r="D148" s="16"/>
      <x:c r="E148" s="19"/>
      <x:c r="F148" s="16"/>
      <x:c r="G148" s="21"/>
      <x:c r="H148" s="21"/>
    </x:row>
    <x:row r="149" ht="28" customHeight="1">
      <x:c r="A149" s="2"/>
      <x:c r="B149" s="2"/>
      <x:c r="C149" s="2"/>
      <x:c r="D149" s="2"/>
      <x:c r="E149" s="19"/>
      <x:c r="F149" s="2"/>
      <x:c r="G149" s="22"/>
      <x:c r="H149" s="22"/>
    </x:row>
    <x:row r="150" ht="28" customHeight="1">
      <x:c r="A150" s="16"/>
      <x:c r="B150" s="16"/>
      <x:c r="C150" s="16"/>
      <x:c r="D150" s="16"/>
      <x:c r="E150" s="19"/>
      <x:c r="F150" s="16"/>
      <x:c r="G150" s="21"/>
      <x:c r="H150" s="21"/>
    </x:row>
    <x:row r="151" ht="28" customHeight="1">
      <x:c r="A151" s="2"/>
      <x:c r="B151" s="2"/>
      <x:c r="C151" s="2"/>
      <x:c r="D151" s="2"/>
      <x:c r="E151" s="19"/>
      <x:c r="F151" s="2"/>
      <x:c r="G151" s="22"/>
      <x:c r="H151" s="22"/>
    </x:row>
    <x:row r="152" ht="28" customHeight="1">
      <x:c r="A152" s="16"/>
      <x:c r="B152" s="16"/>
      <x:c r="C152" s="16"/>
      <x:c r="D152" s="16"/>
      <x:c r="E152" s="19"/>
      <x:c r="F152" s="16"/>
      <x:c r="G152" s="21"/>
      <x:c r="H152" s="21"/>
    </x:row>
    <x:row r="153" ht="28" customHeight="1">
      <x:c r="A153" s="2"/>
      <x:c r="B153" s="2"/>
      <x:c r="C153" s="2"/>
      <x:c r="D153" s="2"/>
      <x:c r="E153" s="19"/>
      <x:c r="F153" s="2"/>
      <x:c r="G153" s="22"/>
      <x:c r="H153" s="22"/>
    </x:row>
    <x:row r="154" ht="28" customHeight="1">
      <x:c r="A154" s="16"/>
      <x:c r="B154" s="16"/>
      <x:c r="C154" s="16"/>
      <x:c r="D154" s="16"/>
      <x:c r="E154" s="19"/>
      <x:c r="F154" s="16"/>
      <x:c r="G154" s="21"/>
      <x:c r="H154" s="21"/>
    </x:row>
    <x:row r="155" ht="28" customHeight="1">
      <x:c r="A155" s="2"/>
      <x:c r="B155" s="2"/>
      <x:c r="C155" s="2"/>
      <x:c r="D155" s="2"/>
      <x:c r="E155" s="19"/>
      <x:c r="F155" s="2"/>
      <x:c r="G155" s="22"/>
      <x:c r="H155" s="22"/>
    </x:row>
    <x:row r="156" ht="28" customHeight="1">
      <x:c r="A156" s="16"/>
      <x:c r="B156" s="16"/>
      <x:c r="C156" s="16"/>
      <x:c r="D156" s="16"/>
      <x:c r="E156" s="19"/>
      <x:c r="F156" s="16"/>
      <x:c r="G156" s="21"/>
      <x:c r="H156" s="21"/>
    </x:row>
    <x:row r="157" ht="28" customHeight="1">
      <x:c r="A157" s="2"/>
      <x:c r="B157" s="2"/>
      <x:c r="C157" s="2"/>
      <x:c r="D157" s="2"/>
      <x:c r="E157" s="19"/>
      <x:c r="F157" s="2"/>
      <x:c r="G157" s="22"/>
      <x:c r="H157" s="22"/>
    </x:row>
    <x:row r="158" ht="28" customHeight="1">
      <x:c r="A158" s="16"/>
      <x:c r="B158" s="16"/>
      <x:c r="C158" s="16"/>
      <x:c r="D158" s="16"/>
      <x:c r="E158" s="19"/>
      <x:c r="F158" s="16"/>
      <x:c r="G158" s="21"/>
      <x:c r="H158" s="21"/>
    </x:row>
    <x:row r="159" ht="28" customHeight="1">
      <x:c r="A159" s="2"/>
      <x:c r="B159" s="2"/>
      <x:c r="C159" s="2"/>
      <x:c r="D159" s="2"/>
      <x:c r="E159" s="19"/>
      <x:c r="F159" s="2"/>
      <x:c r="G159" s="22"/>
      <x:c r="H159" s="22"/>
    </x:row>
    <x:row r="160" ht="28" customHeight="1">
      <x:c r="A160" s="16"/>
      <x:c r="B160" s="16"/>
      <x:c r="C160" s="16"/>
      <x:c r="D160" s="16"/>
      <x:c r="E160" s="19"/>
      <x:c r="F160" s="16"/>
      <x:c r="G160" s="21"/>
      <x:c r="H160" s="21"/>
    </x:row>
    <x:row r="161" ht="28" customHeight="1">
      <x:c r="A161" s="2"/>
      <x:c r="B161" s="2"/>
      <x:c r="C161" s="2"/>
      <x:c r="D161" s="2"/>
      <x:c r="E161" s="19"/>
      <x:c r="F161" s="2"/>
      <x:c r="G161" s="22"/>
      <x:c r="H161" s="22"/>
    </x:row>
    <x:row r="162" ht="28" customHeight="1">
      <x:c r="A162" s="16"/>
      <x:c r="B162" s="16"/>
      <x:c r="C162" s="16"/>
      <x:c r="D162" s="16"/>
      <x:c r="E162" s="19"/>
      <x:c r="F162" s="16"/>
      <x:c r="G162" s="21"/>
      <x:c r="H162" s="21"/>
    </x:row>
    <x:row r="163" ht="28" customHeight="1">
      <x:c r="A163" s="2"/>
      <x:c r="B163" s="2"/>
      <x:c r="C163" s="2"/>
      <x:c r="D163" s="2"/>
      <x:c r="E163" s="19"/>
      <x:c r="F163" s="2"/>
      <x:c r="G163" s="22"/>
      <x:c r="H163" s="22"/>
    </x:row>
    <x:row r="164" ht="28" customHeight="1">
      <x:c r="A164" s="16"/>
      <x:c r="B164" s="16"/>
      <x:c r="C164" s="16"/>
      <x:c r="D164" s="16"/>
      <x:c r="E164" s="19"/>
      <x:c r="F164" s="16"/>
      <x:c r="G164" s="21"/>
      <x:c r="H164" s="21"/>
    </x:row>
    <x:row r="165" ht="28" customHeight="1">
      <x:c r="A165" s="2"/>
      <x:c r="B165" s="2"/>
      <x:c r="C165" s="2"/>
      <x:c r="D165" s="2"/>
      <x:c r="E165" s="19"/>
      <x:c r="F165" s="2"/>
      <x:c r="G165" s="22"/>
      <x:c r="H165" s="22"/>
    </x:row>
    <x:row r="166" ht="28" customHeight="1">
      <x:c r="A166" s="16"/>
      <x:c r="B166" s="16"/>
      <x:c r="C166" s="16"/>
      <x:c r="D166" s="16"/>
      <x:c r="E166" s="19"/>
      <x:c r="F166" s="16"/>
      <x:c r="G166" s="21"/>
      <x:c r="H166" s="21"/>
    </x:row>
    <x:row r="167" ht="28" customHeight="1">
      <x:c r="A167" s="2"/>
      <x:c r="B167" s="2"/>
      <x:c r="C167" s="2"/>
      <x:c r="D167" s="2"/>
      <x:c r="E167" s="19"/>
      <x:c r="F167" s="2"/>
      <x:c r="G167" s="22"/>
      <x:c r="H167" s="22"/>
    </x:row>
    <x:row r="168" ht="28" customHeight="1">
      <x:c r="A168" s="16"/>
      <x:c r="B168" s="16"/>
      <x:c r="C168" s="16"/>
      <x:c r="D168" s="16"/>
      <x:c r="E168" s="19"/>
      <x:c r="F168" s="16"/>
      <x:c r="G168" s="21"/>
      <x:c r="H168" s="21"/>
    </x:row>
    <x:row r="169" ht="28" customHeight="1">
      <x:c r="A169" s="2"/>
      <x:c r="B169" s="2"/>
      <x:c r="C169" s="2"/>
      <x:c r="D169" s="2"/>
      <x:c r="E169" s="19"/>
      <x:c r="F169" s="2"/>
      <x:c r="G169" s="22"/>
      <x:c r="H169" s="22"/>
    </x:row>
    <x:row r="170" ht="28" customHeight="1">
      <x:c r="A170" s="16"/>
      <x:c r="B170" s="16"/>
      <x:c r="C170" s="16"/>
      <x:c r="D170" s="16"/>
      <x:c r="E170" s="19"/>
      <x:c r="F170" s="16"/>
      <x:c r="G170" s="21"/>
      <x:c r="H170" s="21"/>
    </x:row>
    <x:row r="171" ht="28" customHeight="1">
      <x:c r="A171" s="2"/>
      <x:c r="B171" s="2"/>
      <x:c r="C171" s="2"/>
      <x:c r="D171" s="2"/>
      <x:c r="E171" s="19"/>
      <x:c r="F171" s="2"/>
      <x:c r="G171" s="22"/>
      <x:c r="H171" s="22"/>
    </x:row>
    <x:row r="172" ht="28" customHeight="1">
      <x:c r="A172" s="16"/>
      <x:c r="B172" s="16"/>
      <x:c r="C172" s="16"/>
      <x:c r="D172" s="16"/>
      <x:c r="E172" s="19"/>
      <x:c r="F172" s="16"/>
      <x:c r="G172" s="21"/>
      <x:c r="H172" s="21"/>
    </x:row>
    <x:row r="173" ht="28" customHeight="1">
      <x:c r="A173" s="2"/>
      <x:c r="B173" s="2"/>
      <x:c r="C173" s="2"/>
      <x:c r="D173" s="2"/>
      <x:c r="E173" s="19"/>
      <x:c r="F173" s="2"/>
      <x:c r="G173" s="22"/>
      <x:c r="H173" s="22"/>
    </x:row>
    <x:row r="174" ht="28" customHeight="1">
      <x:c r="A174" s="16"/>
      <x:c r="B174" s="16"/>
      <x:c r="C174" s="16"/>
      <x:c r="D174" s="16"/>
      <x:c r="E174" s="19"/>
      <x:c r="F174" s="16"/>
      <x:c r="G174" s="21"/>
      <x:c r="H174" s="21"/>
    </x:row>
    <x:row r="175" ht="28" customHeight="1">
      <x:c r="A175" s="2"/>
      <x:c r="B175" s="2"/>
      <x:c r="C175" s="2"/>
      <x:c r="D175" s="2"/>
      <x:c r="E175" s="19"/>
      <x:c r="F175" s="2"/>
      <x:c r="G175" s="22"/>
      <x:c r="H175" s="22"/>
    </x:row>
    <x:row r="176" ht="28" customHeight="1">
      <x:c r="A176" s="16"/>
      <x:c r="B176" s="16"/>
      <x:c r="C176" s="16"/>
      <x:c r="D176" s="16"/>
      <x:c r="E176" s="19"/>
      <x:c r="F176" s="16"/>
      <x:c r="G176" s="21"/>
      <x:c r="H176" s="21"/>
    </x:row>
    <x:row r="177" ht="28" customHeight="1">
      <x:c r="A177" s="2"/>
      <x:c r="B177" s="2"/>
      <x:c r="C177" s="2"/>
      <x:c r="D177" s="2"/>
      <x:c r="E177" s="19"/>
      <x:c r="F177" s="2"/>
      <x:c r="G177" s="22"/>
      <x:c r="H177" s="22"/>
    </x:row>
    <x:row r="178" ht="28" customHeight="1">
      <x:c r="A178" s="16"/>
      <x:c r="B178" s="16"/>
      <x:c r="C178" s="16"/>
      <x:c r="D178" s="16"/>
      <x:c r="E178" s="19"/>
      <x:c r="F178" s="16"/>
      <x:c r="G178" s="21"/>
      <x:c r="H178" s="21"/>
    </x:row>
    <x:row r="179" ht="28" customHeight="1">
      <x:c r="A179" s="2"/>
      <x:c r="B179" s="2"/>
      <x:c r="C179" s="2"/>
      <x:c r="D179" s="2"/>
      <x:c r="E179" s="19"/>
      <x:c r="F179" s="2"/>
      <x:c r="G179" s="22"/>
      <x:c r="H179" s="22"/>
    </x:row>
    <x:row r="180" ht="28" customHeight="1">
      <x:c r="A180" s="16"/>
      <x:c r="B180" s="16"/>
      <x:c r="C180" s="16"/>
      <x:c r="D180" s="16"/>
      <x:c r="E180" s="19"/>
      <x:c r="F180" s="16"/>
      <x:c r="G180" s="21"/>
      <x:c r="H180" s="21"/>
    </x:row>
    <x:row r="181" ht="28" customHeight="1">
      <x:c r="A181" s="2"/>
      <x:c r="B181" s="2"/>
      <x:c r="C181" s="2"/>
      <x:c r="D181" s="2"/>
      <x:c r="E181" s="19"/>
      <x:c r="F181" s="2"/>
      <x:c r="G181" s="22"/>
      <x:c r="H181" s="22"/>
    </x:row>
    <x:row r="182" ht="28" customHeight="1">
      <x:c r="A182" s="16"/>
      <x:c r="B182" s="16"/>
      <x:c r="C182" s="16"/>
      <x:c r="D182" s="16"/>
      <x:c r="E182" s="19"/>
      <x:c r="F182" s="16"/>
      <x:c r="G182" s="21"/>
      <x:c r="H182" s="21"/>
    </x:row>
    <x:row r="183" ht="28" customHeight="1">
      <x:c r="A183" s="2"/>
      <x:c r="B183" s="2"/>
      <x:c r="C183" s="2"/>
      <x:c r="D183" s="2"/>
      <x:c r="E183" s="19"/>
      <x:c r="F183" s="2"/>
      <x:c r="G183" s="22"/>
      <x:c r="H183" s="22"/>
    </x:row>
    <x:row r="184" ht="28" customHeight="1">
      <x:c r="A184" s="16"/>
      <x:c r="B184" s="16"/>
      <x:c r="C184" s="16"/>
      <x:c r="D184" s="16"/>
      <x:c r="E184" s="19"/>
      <x:c r="F184" s="16"/>
      <x:c r="G184" s="21"/>
      <x:c r="H184" s="21"/>
    </x:row>
    <x:row r="185" ht="28" customHeight="1">
      <x:c r="A185" s="2"/>
      <x:c r="B185" s="2"/>
      <x:c r="C185" s="2"/>
      <x:c r="D185" s="2"/>
      <x:c r="E185" s="19"/>
      <x:c r="F185" s="2"/>
      <x:c r="G185" s="22"/>
      <x:c r="H185" s="22"/>
    </x:row>
    <x:row r="186" ht="28" customHeight="1">
      <x:c r="A186" s="16"/>
      <x:c r="B186" s="16"/>
      <x:c r="C186" s="16"/>
      <x:c r="D186" s="16"/>
      <x:c r="E186" s="19"/>
      <x:c r="F186" s="16"/>
      <x:c r="G186" s="21"/>
      <x:c r="H186" s="21"/>
    </x:row>
    <x:row r="187" ht="28" customHeight="1">
      <x:c r="A187" s="2"/>
      <x:c r="B187" s="2"/>
      <x:c r="C187" s="2"/>
      <x:c r="D187" s="2"/>
      <x:c r="E187" s="19"/>
      <x:c r="F187" s="2"/>
      <x:c r="G187" s="22"/>
      <x:c r="H187" s="22"/>
    </x:row>
    <x:row r="188" ht="28" customHeight="1">
      <x:c r="A188" s="16"/>
      <x:c r="B188" s="16"/>
      <x:c r="C188" s="16"/>
      <x:c r="D188" s="16"/>
      <x:c r="E188" s="19"/>
      <x:c r="F188" s="16"/>
      <x:c r="G188" s="21"/>
      <x:c r="H188" s="21"/>
    </x:row>
    <x:row r="189" ht="28" customHeight="1">
      <x:c r="A189" s="2"/>
      <x:c r="B189" s="2"/>
      <x:c r="C189" s="2"/>
      <x:c r="D189" s="2"/>
      <x:c r="E189" s="19"/>
      <x:c r="F189" s="2"/>
      <x:c r="G189" s="22"/>
      <x:c r="H189" s="22"/>
    </x:row>
    <x:row r="190" ht="28" customHeight="1">
      <x:c r="A190" s="16"/>
      <x:c r="B190" s="16"/>
      <x:c r="C190" s="16"/>
      <x:c r="D190" s="16"/>
      <x:c r="E190" s="19"/>
      <x:c r="F190" s="16"/>
      <x:c r="G190" s="21"/>
      <x:c r="H190" s="21"/>
    </x:row>
    <x:row r="191" ht="28" customHeight="1">
      <x:c r="A191" s="2"/>
      <x:c r="B191" s="2"/>
      <x:c r="C191" s="2"/>
      <x:c r="D191" s="2"/>
      <x:c r="E191" s="19"/>
      <x:c r="F191" s="2"/>
      <x:c r="G191" s="22"/>
      <x:c r="H191" s="22"/>
    </x:row>
    <x:row r="192" ht="28" customHeight="1">
      <x:c r="A192" s="16"/>
      <x:c r="B192" s="16"/>
      <x:c r="C192" s="16"/>
      <x:c r="D192" s="16"/>
      <x:c r="E192" s="19"/>
      <x:c r="F192" s="16"/>
      <x:c r="G192" s="21"/>
      <x:c r="H192" s="21"/>
    </x:row>
    <x:row r="193" ht="28" customHeight="1">
      <x:c r="A193" s="2"/>
      <x:c r="B193" s="2"/>
      <x:c r="C193" s="2"/>
      <x:c r="D193" s="2"/>
      <x:c r="E193" s="19"/>
      <x:c r="F193" s="2"/>
      <x:c r="G193" s="22"/>
      <x:c r="H193" s="22"/>
    </x:row>
    <x:row r="194" ht="28" customHeight="1">
      <x:c r="A194" s="16"/>
      <x:c r="B194" s="16"/>
      <x:c r="C194" s="16"/>
      <x:c r="D194" s="16"/>
      <x:c r="E194" s="19"/>
      <x:c r="F194" s="16"/>
      <x:c r="G194" s="21"/>
      <x:c r="H194" s="21"/>
    </x:row>
    <x:row r="195" ht="28" customHeight="1">
      <x:c r="A195" s="2"/>
      <x:c r="B195" s="2"/>
      <x:c r="C195" s="2"/>
      <x:c r="D195" s="2"/>
      <x:c r="E195" s="19"/>
      <x:c r="F195" s="2"/>
      <x:c r="G195" s="22"/>
      <x:c r="H195" s="22"/>
    </x:row>
    <x:row r="196" ht="28" customHeight="1">
      <x:c r="A196" s="16"/>
      <x:c r="B196" s="16"/>
      <x:c r="C196" s="16"/>
      <x:c r="D196" s="16"/>
      <x:c r="E196" s="19"/>
      <x:c r="F196" s="16"/>
      <x:c r="G196" s="21"/>
      <x:c r="H196" s="21"/>
    </x:row>
    <x:row r="197" ht="28" customHeight="1">
      <x:c r="A197" s="2"/>
      <x:c r="B197" s="2"/>
      <x:c r="C197" s="2"/>
      <x:c r="D197" s="2"/>
      <x:c r="E197" s="19"/>
      <x:c r="F197" s="2"/>
      <x:c r="G197" s="22"/>
      <x:c r="H197" s="22"/>
    </x:row>
    <x:row r="198" ht="28" customHeight="1">
      <x:c r="A198" s="16"/>
      <x:c r="B198" s="16"/>
      <x:c r="C198" s="16"/>
      <x:c r="D198" s="16"/>
      <x:c r="E198" s="19"/>
      <x:c r="F198" s="16"/>
      <x:c r="G198" s="21"/>
      <x:c r="H198" s="21"/>
    </x:row>
    <x:row r="199" ht="28" customHeight="1">
      <x:c r="A199" s="2"/>
      <x:c r="B199" s="2"/>
      <x:c r="C199" s="2"/>
      <x:c r="D199" s="2"/>
      <x:c r="E199" s="19"/>
      <x:c r="F199" s="2"/>
      <x:c r="G199" s="22"/>
      <x:c r="H199" s="22"/>
    </x:row>
    <x:row r="200" ht="28" customHeight="1">
      <x:c r="A200" s="16"/>
      <x:c r="B200" s="16"/>
      <x:c r="C200" s="16"/>
      <x:c r="D200" s="16"/>
      <x:c r="E200" s="19"/>
      <x:c r="F200" s="16"/>
      <x:c r="G200" s="21"/>
      <x:c r="H200" s="21"/>
    </x:row>
    <x:row r="201" ht="28" customHeight="1">
      <x:c r="A201" s="2"/>
      <x:c r="B201" s="2"/>
      <x:c r="C201" s="2"/>
      <x:c r="D201" s="2"/>
      <x:c r="E201" s="19"/>
      <x:c r="F201" s="2"/>
      <x:c r="G201" s="22"/>
      <x:c r="H201" s="22"/>
    </x:row>
    <x:row r="202" ht="28" customHeight="1">
      <x:c r="A202" s="16"/>
      <x:c r="B202" s="16"/>
      <x:c r="C202" s="16"/>
      <x:c r="D202" s="16"/>
      <x:c r="E202" s="19"/>
      <x:c r="F202" s="16"/>
      <x:c r="G202" s="21"/>
      <x:c r="H202" s="21"/>
    </x:row>
    <x:row r="203" ht="28" customHeight="1">
      <x:c r="A203" s="2"/>
      <x:c r="B203" s="2"/>
      <x:c r="C203" s="2"/>
      <x:c r="D203" s="2"/>
      <x:c r="E203" s="19"/>
      <x:c r="F203" s="2"/>
      <x:c r="G203" s="22"/>
      <x:c r="H203" s="22"/>
    </x:row>
    <x:row r="204" ht="28" customHeight="1">
      <x:c r="A204" s="16"/>
      <x:c r="B204" s="16"/>
      <x:c r="C204" s="16"/>
      <x:c r="D204" s="16"/>
      <x:c r="E204" s="19"/>
      <x:c r="F204" s="16"/>
      <x:c r="G204" s="21"/>
      <x:c r="H204" s="21"/>
    </x:row>
    <x:row r="205" ht="28" customHeight="1">
      <x:c r="A205" s="2"/>
      <x:c r="B205" s="2"/>
      <x:c r="C205" s="2"/>
      <x:c r="D205" s="2"/>
      <x:c r="E205" s="19"/>
      <x:c r="F205" s="2"/>
      <x:c r="G205" s="22"/>
      <x:c r="H205" s="2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47" hidden="0" customWidth="1"/>
    <x:col min="3" max="3" width="110" hidden="0" customWidth="1"/>
  </x:cols>
  <x:sheetData>
    <x:row r="1" ht="28" customHeight="1">
      <x:c r="A1" s="2"/>
      <x:c r="B1" s="2"/>
      <x:c r="C1" s="2"/>
    </x:row>
    <x:row r="2" ht="30" customHeight="1">
      <x:c r="A2" s="3" t="str">
        <x:v>Exportación y contrato DSH</x:v>
      </x:c>
      <x:c r="B2" s="2"/>
      <x:c r="C2" s="2"/>
    </x:row>
    <x:row r="3" ht="8" customHeight="1">
      <x:c r="A3" s="4"/>
      <x:c r="B3" s="4"/>
      <x:c r="C3" s="4"/>
    </x:row>
    <x:row r="4" ht="28" customHeight="1">
      <x:c r="A4" s="2"/>
      <x:c r="B4" s="2"/>
      <x:c r="C4" s="2"/>
    </x:row>
    <x:row r="5" ht="34" customHeight="1">
      <x:c r="A5" s="13" t="str">
        <x:v>Salida</x:v>
      </x:c>
      <x:c r="B5" s="14" t="str">
        <x:v>Acción</x:v>
      </x:c>
      <x:c r="C5" s="15" t="str">
        <x:v>Condiciones</x:v>
      </x:c>
    </x:row>
    <x:row r="6" ht="62" customHeight="1">
      <x:c r="A6" s="21" t="str">
        <x:v>Recipe DSH</x:v>
      </x:c>
      <x:c r="B6" s="30" t="str">
        <x:f>IFERROR(HYPERLINK("http://127.0.0.1:8765/download/implementation.json","Descargar Recipe DSH"),"Descargar Recipe DSH")</x:f>
        <x:v>Descargar Recipe DSH</x:v>
      </x:c>
      <x:c r="C6" s="21" t="str">
        <x:v>implementation.json: receta de implementación con agentes, jerarquía y contrato de ejecución.</x:v>
      </x:c>
    </x:row>
    <x:row r="7" ht="62" customHeight="1">
      <x:c r="A7" s="22" t="str">
        <x:v>Definitions Backup DSH</x:v>
      </x:c>
      <x:c r="B7" s="30" t="str">
        <x:f>IFERROR(HYPERLINK("http://127.0.0.1:8765/download/definitions.json","Descargar Definitions Backup"),"Descargar Definitions Backup")</x:f>
        <x:v>Descargar Definitions Backup</x:v>
      </x:c>
      <x:c r="C7" s="22" t="str">
        <x:v>definitions.json: definiciones de los agentes y los equipos de implementación y Council. Es un formato distinto de Recipe.</x:v>
      </x:c>
    </x:row>
    <x:row r="8" ht="62" customHeight="1">
      <x:c r="A8" s="21" t="str">
        <x:v>Paquete completo ZIP</x:v>
      </x:c>
      <x:c r="B8" s="30" t="str">
        <x:f>IFERROR(HYPERLINK("http://127.0.0.1:8765/download/package.zip","Descargar paquete ZIP"),"Descargar paquete ZIP")</x:f>
        <x:v>Descargar paquete ZIP</x:v>
      </x:c>
      <x:c r="C8" s="21" t="str">
        <x:v>package.zip: paquete generado por el motor con exportaciones y archivos incluidos en su manifiesto.</x:v>
      </x:c>
    </x:row>
    <x:row r="9" ht="62" customHeight="1">
      <x:c r="A9" s="22" t="str">
        <x:v>Council opcional</x:v>
      </x:c>
      <x:c r="B9" s="30" t="str">
        <x:f>IFERROR(HYPERLINK("http://127.0.0.1:8765/download/council.json","Descargar Council opcional"),"Descargar Council opcional")</x:f>
        <x:v>Descargar Council opcional</x:v>
      </x:c>
      <x:c r="C9" s="22" t="str">
        <x:v>council.json: Recipe adicional de deliberación. También se incluye en el paquete.</x:v>
      </x:c>
    </x:row>
    <x:row r="10" ht="62" customHeight="1">
      <x:c r="A10" s="21" t="str">
        <x:v>Organización y prompts</x:v>
      </x:c>
      <x:c r="B10" s="30" t="str">
        <x:f>IFERROR(HYPERLINK("http://127.0.0.1:8765/","Abrir panel local"),"Abrir panel local")</x:f>
        <x:v>Abrir panel local</x:v>
      </x:c>
      <x:c r="C10" s="21" t="str">
        <x:v>Prompts extensos se conservan en JSON/archivos del motor, fuera de celdas Excel.</x:v>
      </x:c>
    </x:row>
    <x:row r="11" ht="62" customHeight="1">
      <x:c r="A11" s="22" t="str">
        <x:v>Modo merge</x:v>
      </x:c>
      <x:c r="B11" s="22" t="str">
        <x:v>Revisar IDs existentes</x:v>
      </x:c>
      <x:c r="C11" s="22" t="str">
        <x:v>Preserva IDs estables de la receta. Verifica el roster del runtime antes de operar.</x:v>
      </x:c>
    </x:row>
    <x:row r="12" ht="62" customHeight="1">
      <x:c r="A12" s="21" t="str">
        <x:v>Modo copy</x:v>
      </x:c>
      <x:c r="B12" s="21" t="str">
        <x:v>Reconciliar nuevos IDs</x:v>
      </x:c>
      <x:c r="C12" s="21" t="str">
        <x:v>La aplicación receptora puede remapear IDs. No trates UUID antiguos dentro de texto como identidad runtime.</x:v>
      </x:c>
    </x:row>
    <x:row r="13" ht="28" customHeight="1">
      <x:c r="A13" s="2"/>
      <x:c r="B13" s="2"/>
      <x:c r="C13" s="2"/>
    </x:row>
    <x:row r="14" ht="28" customHeight="1">
      <x:c r="A14" s="16"/>
      <x:c r="B14" s="16"/>
      <x:c r="C14" s="16"/>
    </x:row>
    <x:row r="15" ht="42" customHeight="1">
      <x:c r="A15" s="23" t="str">
        <x:v>Los enlaces requieren el motor escuchando en 127.0.0.1:8765.</x:v>
      </x:c>
      <x:c r="B15" s="22"/>
      <x:c r="C15" s="22" t="str">
        <x:v>http://127.0.0.1:8765/</x:v>
      </x:c>
    </x:row>
    <x:row r="16" ht="42" customHeight="1">
      <x:c r="A16" s="21"/>
      <x:c r="B16" s="21"/>
      <x:c r="C16" s="21"/>
    </x:row>
    <x:row r="17" ht="42" customHeight="1">
      <x:c r="A17" s="23" t="str">
        <x:v>Guardar el libro no llama a una API ni despliega el repositorio.</x:v>
      </x:c>
      <x:c r="B17" s="22"/>
      <x:c r="C17" s="22" t="str">
        <x:v>Si el enlace no responde, copia la URL al navegador o abre el panel con el lanzador.</x:v>
      </x:c>
    </x:row>
    <x:row r="18" ht="28" customHeight="1">
      <x:c r="A18" s="16"/>
      <x:c r="B18" s="16"/>
      <x:c r="C18" s="16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32" hidden="0" customWidth="1"/>
    <x:col min="3" max="3" width="65" hidden="0" customWidth="1"/>
    <x:col min="4" max="4" width="85" hidden="0" customWidth="1"/>
  </x:cols>
  <x:sheetData>
    <x:row r="1" ht="28" customHeight="1">
      <x:c r="A1" s="2"/>
      <x:c r="B1" s="2"/>
      <x:c r="C1" s="2"/>
      <x:c r="D1" s="2"/>
    </x:row>
    <x:row r="2" ht="30" customHeight="1">
      <x:c r="A2" s="3" t="str">
        <x:v>Controles independientes del libro</x:v>
      </x:c>
      <x:c r="B2" s="2"/>
      <x:c r="C2" s="2"/>
      <x:c r="D2" s="2"/>
    </x:row>
    <x:row r="3" ht="8" customHeight="1">
      <x:c r="A3" s="4"/>
      <x:c r="B3" s="4"/>
      <x:c r="C3" s="4"/>
      <x:c r="D3" s="4"/>
    </x:row>
    <x:row r="4" ht="28" customHeight="1">
      <x:c r="A4" s="2"/>
      <x:c r="B4" s="2"/>
      <x:c r="C4" s="2"/>
      <x:c r="D4" s="2"/>
    </x:row>
    <x:row r="5" ht="34" customHeight="1">
      <x:c r="A5" s="13" t="str">
        <x:v>Control</x:v>
      </x:c>
      <x:c r="B5" s="14" t="str">
        <x:v>Resultado</x:v>
      </x:c>
      <x:c r="C5" s="14" t="str">
        <x:v>Regla</x:v>
      </x:c>
      <x:c r="D5" s="15" t="str">
        <x:v>Interpretación</x:v>
      </x:c>
    </x:row>
    <x:row r="6" ht="52" customHeight="1">
      <x:c r="A6" s="21" t="str">
        <x:v>Entradas N y span</x:v>
      </x:c>
      <x:c r="B6" s="21" t="str">
        <x:f>'Configuracion'!B23</x:f>
        <x:v>VALIDO</x:v>
      </x:c>
      <x:c r="C6" s="21" t="str">
        <x:v>N entero 1–32; span entero 1–8</x:v>
      </x:c>
      <x:c r="D6" s="21" t="str">
        <x:v>Entradas inválidas suprimen el organigrama.</x:v>
      </x:c>
    </x:row>
    <x:row r="7" ht="52" customHeight="1">
      <x:c r="A7" s="22" t="str">
        <x:v>Agentes activos</x:v>
      </x:c>
      <x:c r="B7" s="22" t="str">
        <x:f>IF('Configuracion'!$B$23&lt;&gt;"VALIDO","INVALIDO",IF(COUNTIFS('Organigrama'!$C$6:$C$37,"SI")='Configuracion'!$B$8,"OK","FALLO"))</x:f>
        <x:v>OK</x:v>
      </x:c>
      <x:c r="C7" s="22" t="str">
        <x:v>Total de activos = N</x:v>
      </x:c>
      <x:c r="D7" s="22" t="str">
        <x:v>El propietario externo no forma parte del total.</x:v>
      </x:c>
    </x:row>
    <x:row r="8" ht="52" customHeight="1">
      <x:c r="A8" s="21" t="str">
        <x:v>CEO único</x:v>
      </x:c>
      <x:c r="B8" s="21" t="str">
        <x:f>IF('Configuracion'!$B$23&lt;&gt;"VALIDO","INVALIDO",IF(COUNTIFS('Organigrama'!$H$6:$H$37,"OWNER_EXTERNAL")=1,"OK","FALLO"))</x:f>
        <x:v>OK</x:v>
      </x:c>
      <x:c r="C8" s="21" t="str">
        <x:v>Un agente reporta a OWNER_EXTERNAL</x:v>
      </x:c>
      <x:c r="D8" s="21" t="str">
        <x:v>Sin sumar miembros Council al reporte del CEO.</x:v>
      </x:c>
    </x:row>
    <x:row r="9" ht="52" customHeight="1">
      <x:c r="A9" s="22" t="str">
        <x:v>Máximo de reportes</x:v>
      </x:c>
      <x:c r="B9" s="22" t="str">
        <x:f>IF('Configuracion'!$B$23&lt;&gt;"VALIDO","INVALIDO",IF(MAX('Organigrama'!$J$6:$J$37)&lt;='Configuracion'!$B$9,"OK","FALLO"))</x:f>
        <x:v>OK</x:v>
      </x:c>
      <x:c r="C9" s="22" t="str">
        <x:v>MAX(reportes directos) ≤ span</x:v>
      </x:c>
      <x:c r="D9" s="22" t="str">
        <x:v>Chequeo independiente de la fórmula de asignación.</x:v>
      </x:c>
    </x:row>
    <x:row r="10" ht="52" customHeight="1">
      <x:c r="A10" s="21" t="str">
        <x:v>Aristas de jerarquía</x:v>
      </x:c>
      <x:c r="B10" s="21" t="str">
        <x:f>IF('Configuracion'!$B$23&lt;&gt;"VALIDO","INVALIDO",IF(SUM('Organigrama'!$J$6:$J$37)='Configuracion'!$B$8-1,"OK","FALLO"))</x:f>
        <x:v>OK</x:v>
      </x:c>
      <x:c r="C10" s="21" t="str">
        <x:v>SUM(reportes directos) = N-1</x:v>
      </x:c>
      <x:c r="D10" s="21" t="str">
        <x:v>Jerarquía conectada con una única raíz.</x:v>
      </x:c>
    </x:row>
    <x:row r="11" ht="52" customHeight="1">
      <x:c r="A11" s="22" t="str">
        <x:v>Asignaciones verificadas</x:v>
      </x:c>
      <x:c r="B11" s="22" t="n">
        <x:f>COUNTIFS('Organigrama'!$M$6:$M$37,"AVAILABLE",'Organigrama'!$C$6:$C$37,"SI")</x:f>
        <x:v>0</x:v>
      </x:c>
      <x:c r="C11" s="22" t="str">
        <x:v>AVAILABLE por proveedor y modelo</x:v>
      </x:c>
      <x:c r="D11" s="22" t="str">
        <x:v>UNVERIFIED requiere catálogo real y permiso antes de usar API.</x:v>
      </x:c>
    </x:row>
    <x:row r="12" ht="52" customHeight="1">
      <x:c r="A12" s="21" t="str">
        <x:v>Cambios de configuración</x:v>
      </x:c>
      <x:c r="B12" s="21" t="str">
        <x:f>'Configuracion'!C17</x:f>
        <x:v>SIN CAMBIOS</x:v>
      </x:c>
      <x:c r="C12" s="21" t="str">
        <x:v>Huella aplicada frente a entradas</x:v>
      </x:c>
      <x:c r="D12" s="21" t="str">
        <x:v>STALE obliga a aplicar de nuevo perfiles y exportación.</x:v>
      </x:c>
    </x:row>
    <x:row r="13" ht="52" customHeight="1">
      <x:c r="A13" s="22" t="str">
        <x:v>Pruebas PASS</x:v>
      </x:c>
      <x:c r="B13" s="22" t="n">
        <x:f>COUNTIFS('Pruebas'!$F$6:$F$205,"PASS")</x:f>
        <x:v>0</x:v>
      </x:c>
      <x:c r="C13" s="22" t="str">
        <x:v>Solo filas explícitamente PASS</x:v>
      </x:c>
      <x:c r="D13" s="22" t="str">
        <x:v>No se incluyen casos únicamente diseñados.</x:v>
      </x:c>
    </x:row>
    <x:row r="14" ht="52" customHeight="1">
      <x:c r="A14" s="21" t="str">
        <x:v>Ejecución del repositorio</x:v>
      </x:c>
      <x:c r="B14" s="21" t="str">
        <x:v>NO_EJECUTADA</x:v>
      </x:c>
      <x:c r="C14" s="21" t="str">
        <x:v>No hay pruebas reales del repositorio en esta entrega</x:v>
      </x:c>
      <x:c r="D14" s="21" t="str">
        <x:v>Las verificaciones de construcción del libro se documentan aparte.</x:v>
      </x:c>
    </x:row>
    <x:row r="15" ht="28" customHeight="1">
      <x:c r="A15" s="2"/>
      <x:c r="B15" s="2"/>
      <x:c r="C15" s="2"/>
      <x:c r="D15" s="2"/>
    </x:row>
    <x:row r="16" ht="28" customHeight="1">
      <x:c r="A16" s="16"/>
      <x:c r="B16" s="16"/>
      <x:c r="C16" s="16"/>
      <x:c r="D16" s="16"/>
    </x:row>
    <x:row r="17" ht="28" customHeight="1">
      <x:c r="A17" s="2"/>
      <x:c r="B17" s="2"/>
      <x:c r="C17" s="2"/>
      <x:c r="D17" s="2"/>
    </x:row>
    <x:row r="18" ht="28" customHeight="1">
      <x:c r="A18" s="16"/>
      <x:c r="B18" s="16"/>
      <x:c r="C18" s="16"/>
      <x:c r="D18" s="16"/>
    </x:row>
  </x:sheetData>
  <x:conditionalFormatting sqref="B6:B14">
    <x:cfRule type="containsText" dxfId="5" priority="1" operator="containsText" text="INVALIDO"/>
    <x:cfRule type="containsText" dxfId="6" priority="2" operator="containsText" text="STALE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7180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142" hidden="0" customWidth="1"/>
  </x:cols>
  <x:sheetData>
    <x:row r="1" ht="28" customHeight="1">
      <x:c r="A1" s="2"/>
      <x:c r="B1" s="2"/>
    </x:row>
    <x:row r="2" ht="30" customHeight="1">
      <x:c r="A2" s="3" t="str">
        <x:v>Uso, alcance y fuentes</x:v>
      </x:c>
      <x:c r="B2" s="2"/>
    </x:row>
    <x:row r="3" ht="8" customHeight="1">
      <x:c r="A3" s="4"/>
      <x:c r="B3" s="4"/>
    </x:row>
    <x:row r="4" ht="28" customHeight="1">
      <x:c r="A4" s="2"/>
      <x:c r="B4" s="2"/>
    </x:row>
    <x:row r="5" ht="34" customHeight="1">
      <x:c r="A5" s="13" t="str">
        <x:v>Tema</x:v>
      </x:c>
      <x:c r="B5" s="15" t="str">
        <x:v>Instrucción o fuente</x:v>
      </x:c>
    </x:row>
    <x:row r="6" ht="64" customHeight="1">
      <x:c r="A6" s="21" t="str">
        <x:v>Configuración</x:v>
      </x:c>
      <x:c r="B6" s="21" t="str">
        <x:v>Edita las celdas amarillas. N acepta 1–32; span acepta 1–8. Para N=1 existe solo el CEO, con cero subordinados.</x:v>
      </x:c>
    </x:row>
    <x:row r="7" ht="64" customHeight="1">
      <x:c r="A7" s="22" t="str">
        <x:v>Actualización inmediata</x:v>
      </x:c>
      <x:c r="B7" s="22" t="str">
        <x:v>Organigrama usa parent_slot = INT((slot-2)/span)+1. La profundidad enlaza solo a filas anteriores. Council usa los mismos miembros activos.</x:v>
      </x:c>
    </x:row>
    <x:row r="8" ht="64" customHeight="1">
      <x:c r="A8" s="21" t="str">
        <x:v>Actualización con motor</x:v>
      </x:c>
      <x:c r="B8" s="21" t="str">
        <x:v>Cambios de repositorio, N, span o plantilla marcan perfiles STALE. Aplica el motor local para adaptar perfiles, auditores, consultores y JSON.</x:v>
      </x:c>
    </x:row>
    <x:row r="9" ht="64" customHeight="1">
      <x:c r="A9" s="22" t="str">
        <x:v>Requisitos locales</x:v>
      </x:c>
      <x:c r="B9" s="22" t="str">
        <x:v>Abre el lanzador del paquete con Python local. La actualización del Excel vía COM requiere Windows y Excel instalado. La API y los JSON también se usan desde el panel.</x:v>
      </x:c>
    </x:row>
    <x:row r="10" ht="64" customHeight="1">
      <x:c r="A10" s="21" t="str">
        <x:v>Modelos</x:v>
      </x:c>
      <x:c r="B10" s="21" t="str">
        <x:v>La lista desplegable muestra el catálogo disponible en el libro. La validación proveedor+modelo marca las combinaciones no catalogadas. AVAILABLE solo debe venir de una consulta real al proveedor.</x:v>
      </x:c>
    </x:row>
    <x:row r="11" ht="64" customHeight="1">
      <x:c r="A11" s="22" t="str">
        <x:v>Credenciales</x:v>
      </x:c>
      <x:c r="B11" s="22" t="str">
        <x:v>El libro contiene alias de variables de entorno. Introduce las claves solo mediante el flujo local previsto. No las compartas ni las guardes en celdas o JSON de recetas.</x:v>
      </x:c>
    </x:row>
    <x:row r="12" ht="64" customHeight="1">
      <x:c r="A12" s="21" t="str">
        <x:v>CV y habilidades</x:v>
      </x:c>
      <x:c r="B12" s="21" t="str">
        <x:v>Las personas son ficticias y las habilidades aspiracionales. No se atribuyen empleadores, años trabajados, universidades ni certificaciones obtenidas.</x:v>
      </x:c>
    </x:row>
    <x:row r="13" ht="64" customHeight="1">
      <x:c r="A13" s="22" t="str">
        <x:v>Supervisión</x:v>
      </x:c>
      <x:c r="B13" s="22" t="str">
        <x:v>Los auditores no certifican su propio candidato. El motor revisa conflictos de independencia y puede escalar al OWNER_EXTERNAL.</x:v>
      </x:c>
    </x:row>
    <x:row r="14" ht="64" customHeight="1">
      <x:c r="A14" s="21" t="str">
        <x:v>Aprendizaje</x:v>
      </x:c>
      <x:c r="B14" s="21" t="str">
        <x:v>Registra fallo, reproducción, causa raíz, corrección, prueba de aceptación y retest independiente. Las skills propuestas webapp-testing y systematic-debugging no se instalan por rellenar la matriz.</x:v>
      </x:c>
    </x:row>
    <x:row r="15" ht="64" customHeight="1">
      <x:c r="A15" s="22" t="str">
        <x:v>Estado de ejecución</x:v>
      </x:c>
      <x:c r="B15" s="22" t="str">
        <x:v>DISEÑADO_NO_EJECUTADO significa contenido preparado. No demuestra que el repositorio, una API, una skill o una prueba hayan sido ejecutados.</x:v>
      </x:c>
    </x:row>
    <x:row r="16" ht="64" customHeight="1">
      <x:c r="A16" s="21" t="str">
        <x:v>Fuente base</x:v>
      </x:c>
      <x:c r="B16" s="21" t="str">
        <x:v>Receta del usuario: agent-team-recipe-6cfad98c-7b40-43b8-92d7-faf33fb4a3fd (3).json. UUID y roles originales se conservan como identidades de referencia.</x:v>
      </x:c>
    </x:row>
    <x:row r="17" ht="64" customHeight="1">
      <x:c r="A17" s="22" t="str">
        <x:v>Repositorio</x:v>
      </x:c>
      <x:c r="B17" s="22" t="str">
        <x:v>https://github.com/hefarica/arbitragex-v2.git. La referencia main se consulta únicamente mediante el motor cuando lo ejecutes.</x:v>
      </x:c>
    </x:row>
    <x:row r="18" ht="64" customHeight="1">
      <x:c r="A18" s="21" t="str">
        <x:v>Documento histórico</x:v>
      </x:c>
      <x:c r="B18" s="21" t="str">
        <x:v>Whitepaper del repositorio suministrado por el usuario (350 páginas). La referencia b3b73458 es histórica y no equivale a un análisis nuevo del HEAD.</x:v>
      </x:c>
    </x:row>
    <x:row r="19" ht="64" customHeight="1">
      <x:c r="A19" s="22" t="str">
        <x:v>Diseño</x:v>
      </x:c>
      <x:c r="B19" s="22" t="str">
        <x:v>Orden BFS semántico: CEO; ingeniería, aseguramiento y operaciones; especialistas. El máximo de reportes permanece parametrizable.</x:v>
      </x:c>
    </x:row>
    <x:row r="20" ht="64" customHeight="1">
      <x:c r="A20" s="21" t="str">
        <x:v>Límites del archivo</x:v>
      </x:c>
      <x:c r="B20" s="21" t="str">
        <x:v>Máximo 32 agentes editables en esta versión. Los prompts largos se modularizan fuera de Excel; ninguna celda supera 32.767 caracteres.</x:v>
      </x:c>
    </x:row>
    <x:row r="21" ht="64" customHeight="1">
      <x:c r="A21" s="22" t="str">
        <x:v>Pruebas de entrega</x:v>
      </x:c>
      <x:c r="B21" s="22" t="str">
        <x:v>Fórmulas y límites del libro probados con N 1/2/24/32 y span 1/2/3/8. Excel nativo, COM real y API del proveedor requieren validación en tu equipo.</x:v>
      </x:c>
    </x:row>
    <x:row r="22" ht="64" customHeight="1">
      <x:c r="A22" s="21" t="str">
        <x:v>Formatos DSH</x:v>
      </x:c>
      <x:c r="B22" s="21" t="str">
        <x:v>Recipe y Definitions Backup son dos formatos de importación diferentes. El paquete ZIP reúne las exportaciones y los recursos indicados en su manifiesto. Council es una receta adicional de deliberación.</x:v>
      </x:c>
    </x:row>
    <x:row r="23" ht="28" customHeight="1">
      <x:c r="A23" s="2"/>
      <x:c r="B23" s="2"/>
    </x:row>
    <x:row r="24" ht="28" customHeight="1">
      <x:c r="A24" s="16"/>
      <x:c r="B24" s="16"/>
    </x:row>
  </x:sheetData>
  <x:pageMargins left="0.7" right="0.7" top="0.75" bottom="0.75" header="0.3" footer="0.3"/>
</x:worksheet>
</file>